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stomer Performance" sheetId="1" state="visible" r:id="rId1"/>
    <sheet xmlns:r="http://schemas.openxmlformats.org/officeDocument/2006/relationships" name="SKU Pricing" sheetId="2" state="visible" r:id="rId2"/>
    <sheet xmlns:r="http://schemas.openxmlformats.org/officeDocument/2006/relationships" name="Product Mix" sheetId="3" state="visible" r:id="rId3"/>
    <sheet xmlns:r="http://schemas.openxmlformats.org/officeDocument/2006/relationships" name="Summar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₪#,##0;&quot;(₪&quot;#,##0\);\-"/>
    <numFmt numFmtId="165" formatCode="\₪#,##0.00"/>
    <numFmt numFmtId="166" formatCode="0.0%;\(0.0%\);\-"/>
    <numFmt numFmtId="167" formatCode="#,##0;\(#,##0\);\-"/>
    <numFmt numFmtId="168" formatCode="\₪#,##0"/>
    <numFmt numFmtId="169" formatCode="₪#,##0.00"/>
    <numFmt numFmtId="170" formatCode="0.0%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BFBFB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808080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1F4E79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F4F00"/>
      <sz val="10"/>
    </font>
    <font>
      <name val="Calibri"/>
      <b val="1"/>
      <color rgb="00FFFFFF"/>
      <sz val="13"/>
    </font>
    <font>
      <name val="Calibri"/>
      <i val="1"/>
      <color rgb="001F3864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7F7F7F"/>
      <sz val="10"/>
    </font>
    <font>
      <name val="Calibri"/>
      <b val="1"/>
      <color rgb="007F7F7F"/>
      <sz val="10"/>
    </font>
  </fonts>
  <fills count="1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2E75B6"/>
        <bgColor rgb="FF0066CC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6E4F0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166" fontId="10" fillId="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bottom"/>
    </xf>
    <xf numFmtId="166" fontId="9" fillId="0" borderId="1" applyAlignment="1" pivotButton="0" quotePrefix="0" xfId="0">
      <alignment horizontal="center" vertical="center"/>
    </xf>
    <xf numFmtId="166" fontId="9" fillId="3" borderId="1" applyAlignment="1" pivotButton="0" quotePrefix="0" xfId="0">
      <alignment horizontal="center" vertical="center"/>
    </xf>
    <xf numFmtId="166" fontId="9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center" vertical="bottom"/>
    </xf>
    <xf numFmtId="167" fontId="14" fillId="0" borderId="1" applyAlignment="1" pivotButton="0" quotePrefix="0" xfId="0">
      <alignment horizontal="center" vertical="bottom"/>
    </xf>
    <xf numFmtId="3" fontId="15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15" fillId="5" borderId="1" applyAlignment="1" pivotButton="0" quotePrefix="0" xfId="0">
      <alignment horizontal="center" vertical="bottom"/>
    </xf>
    <xf numFmtId="3" fontId="15" fillId="5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left" vertical="center"/>
    </xf>
    <xf numFmtId="1" fontId="18" fillId="0" borderId="1" applyAlignment="1" pivotButton="0" quotePrefix="0" xfId="0">
      <alignment horizontal="center" vertical="center"/>
    </xf>
    <xf numFmtId="168" fontId="18" fillId="0" borderId="1" applyAlignment="1" pivotButton="0" quotePrefix="0" xfId="0">
      <alignment horizontal="center" vertical="center"/>
    </xf>
    <xf numFmtId="168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166" fontId="10" fillId="5" borderId="1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21" fillId="9" borderId="2" applyAlignment="1" pivotButton="0" quotePrefix="0" xfId="0">
      <alignment horizontal="left" vertical="center" readingOrder="2"/>
    </xf>
    <xf numFmtId="169" fontId="21" fillId="9" borderId="2" applyAlignment="1" pivotButton="0" quotePrefix="0" xfId="0">
      <alignment horizontal="right" vertical="center"/>
    </xf>
    <xf numFmtId="0" fontId="21" fillId="9" borderId="2" applyAlignment="1" pivotButton="0" quotePrefix="0" xfId="0">
      <alignment horizontal="center" vertical="center"/>
    </xf>
    <xf numFmtId="9" fontId="21" fillId="9" borderId="2" applyAlignment="1" pivotButton="0" quotePrefix="0" xfId="0">
      <alignment horizontal="center" vertical="center"/>
    </xf>
    <xf numFmtId="170" fontId="21" fillId="9" borderId="2" applyAlignment="1" pivotButton="0" quotePrefix="0" xfId="0">
      <alignment horizontal="center" vertical="center"/>
    </xf>
    <xf numFmtId="0" fontId="21" fillId="10" borderId="2" applyAlignment="1" pivotButton="0" quotePrefix="0" xfId="0">
      <alignment horizontal="left" vertical="center" readingOrder="2"/>
    </xf>
    <xf numFmtId="169" fontId="21" fillId="10" borderId="2" applyAlignment="1" pivotButton="0" quotePrefix="0" xfId="0">
      <alignment horizontal="right" vertical="center"/>
    </xf>
    <xf numFmtId="0" fontId="21" fillId="10" borderId="2" applyAlignment="1" pivotButton="0" quotePrefix="0" xfId="0">
      <alignment horizontal="center" vertical="center"/>
    </xf>
    <xf numFmtId="9" fontId="21" fillId="10" borderId="2" applyAlignment="1" pivotButton="0" quotePrefix="0" xfId="0">
      <alignment horizontal="center" vertical="center"/>
    </xf>
    <xf numFmtId="170" fontId="21" fillId="10" borderId="2" applyAlignment="1" pivotButton="0" quotePrefix="0" xfId="0">
      <alignment horizontal="center" vertical="center"/>
    </xf>
    <xf numFmtId="0" fontId="21" fillId="11" borderId="2" applyAlignment="1" pivotButton="0" quotePrefix="0" xfId="0">
      <alignment horizontal="left" vertical="center" readingOrder="2"/>
    </xf>
    <xf numFmtId="169" fontId="21" fillId="11" borderId="2" applyAlignment="1" pivotButton="0" quotePrefix="0" xfId="0">
      <alignment horizontal="right" vertical="center"/>
    </xf>
    <xf numFmtId="0" fontId="21" fillId="11" borderId="2" applyAlignment="1" pivotButton="0" quotePrefix="0" xfId="0">
      <alignment horizontal="center" vertical="center"/>
    </xf>
    <xf numFmtId="9" fontId="21" fillId="11" borderId="2" applyAlignment="1" pivotButton="0" quotePrefix="0" xfId="0">
      <alignment horizontal="center" vertical="center"/>
    </xf>
    <xf numFmtId="170" fontId="21" fillId="11" borderId="2" applyAlignment="1" pivotButton="0" quotePrefix="0" xfId="0">
      <alignment horizontal="center" vertical="center"/>
    </xf>
    <xf numFmtId="0" fontId="22" fillId="12" borderId="2" applyAlignment="1" pivotButton="0" quotePrefix="0" xfId="0">
      <alignment horizontal="left" vertical="center" readingOrder="2"/>
    </xf>
    <xf numFmtId="169" fontId="22" fillId="12" borderId="2" applyAlignment="1" pivotButton="0" quotePrefix="0" xfId="0">
      <alignment horizontal="right" vertical="center"/>
    </xf>
    <xf numFmtId="0" fontId="22" fillId="12" borderId="2" applyAlignment="1" pivotButton="0" quotePrefix="0" xfId="0">
      <alignment horizontal="center" vertical="center"/>
    </xf>
    <xf numFmtId="9" fontId="22" fillId="12" borderId="2" applyAlignment="1" pivotButton="0" quotePrefix="0" xfId="0">
      <alignment horizontal="center" vertical="center"/>
    </xf>
    <xf numFmtId="170" fontId="2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bottom"/>
    </xf>
    <xf numFmtId="0" fontId="13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center" vertical="bottom"/>
    </xf>
    <xf numFmtId="167" fontId="14" fillId="0" borderId="1" applyAlignment="1" pivotButton="0" quotePrefix="0" xfId="0">
      <alignment horizontal="center" vertical="bottom"/>
    </xf>
    <xf numFmtId="3" fontId="15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15" fillId="5" borderId="1" applyAlignment="1" pivotButton="0" quotePrefix="0" xfId="0">
      <alignment horizontal="center" vertical="bottom"/>
    </xf>
    <xf numFmtId="3" fontId="15" fillId="5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left" vertical="center"/>
    </xf>
    <xf numFmtId="1" fontId="18" fillId="0" borderId="1" applyAlignment="1" pivotButton="0" quotePrefix="0" xfId="0">
      <alignment horizontal="center" vertical="center"/>
    </xf>
    <xf numFmtId="168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23" fillId="7" borderId="0" applyAlignment="1" pivotButton="0" quotePrefix="0" xfId="0">
      <alignment horizontal="center" vertical="center"/>
    </xf>
    <xf numFmtId="0" fontId="24" fillId="13" borderId="0" applyAlignment="1" pivotButton="0" quotePrefix="0" xfId="0">
      <alignment horizontal="center" vertical="center"/>
    </xf>
    <xf numFmtId="0" fontId="25" fillId="14" borderId="2" applyAlignment="1" pivotButton="0" quotePrefix="0" xfId="0">
      <alignment horizontal="left" vertical="center" readingOrder="2"/>
    </xf>
    <xf numFmtId="3" fontId="25" fillId="14" borderId="2" applyAlignment="1" pivotButton="0" quotePrefix="0" xfId="0">
      <alignment horizontal="right" vertical="center" readingOrder="1"/>
    </xf>
    <xf numFmtId="3" fontId="25" fillId="11" borderId="2" applyAlignment="1" pivotButton="0" quotePrefix="0" xfId="0">
      <alignment horizontal="right" vertical="center" readingOrder="1"/>
    </xf>
    <xf numFmtId="0" fontId="25" fillId="14" borderId="2" applyAlignment="1" pivotButton="0" quotePrefix="0" xfId="0">
      <alignment horizontal="right" vertical="center" readingOrder="1"/>
    </xf>
    <xf numFmtId="3" fontId="26" fillId="14" borderId="2" applyAlignment="1" pivotButton="0" quotePrefix="0" xfId="0">
      <alignment horizontal="right" vertical="center" readingOrder="1"/>
    </xf>
    <xf numFmtId="0" fontId="25" fillId="15" borderId="2" applyAlignment="1" pivotButton="0" quotePrefix="0" xfId="0">
      <alignment horizontal="left" vertical="center" readingOrder="2"/>
    </xf>
    <xf numFmtId="0" fontId="27" fillId="15" borderId="2" applyAlignment="1" pivotButton="0" quotePrefix="0" xfId="0">
      <alignment horizontal="right" vertical="center" readingOrder="1"/>
    </xf>
    <xf numFmtId="0" fontId="28" fillId="15" borderId="2" applyAlignment="1" pivotButton="0" quotePrefix="0" xfId="0">
      <alignment horizontal="right" vertical="center" readingOrder="1"/>
    </xf>
    <xf numFmtId="0" fontId="25" fillId="10" borderId="2" applyAlignment="1" pivotButton="0" quotePrefix="0" xfId="0">
      <alignment horizontal="left" vertical="center" readingOrder="2"/>
    </xf>
    <xf numFmtId="3" fontId="25" fillId="10" borderId="2" applyAlignment="1" pivotButton="0" quotePrefix="0" xfId="0">
      <alignment horizontal="right" vertical="center" readingOrder="1"/>
    </xf>
    <xf numFmtId="0" fontId="25" fillId="10" borderId="2" applyAlignment="1" pivotButton="0" quotePrefix="0" xfId="0">
      <alignment horizontal="right" vertical="center" readingOrder="1"/>
    </xf>
    <xf numFmtId="3" fontId="26" fillId="10" borderId="2" applyAlignment="1" pivotButton="0" quotePrefix="0" xfId="0">
      <alignment horizontal="right" vertical="center" readingOrder="1"/>
    </xf>
    <xf numFmtId="3" fontId="25" fillId="16" borderId="2" applyAlignment="1" pivotButton="0" quotePrefix="0" xfId="0">
      <alignment horizontal="right" vertical="center" readingOrder="1"/>
    </xf>
    <xf numFmtId="3" fontId="25" fillId="15" borderId="2" applyAlignment="1" pivotButton="0" quotePrefix="0" xfId="0">
      <alignment horizontal="right" vertical="center" readingOrder="1"/>
    </xf>
    <xf numFmtId="0" fontId="25" fillId="15" borderId="2" applyAlignment="1" pivotButton="0" quotePrefix="0" xfId="0">
      <alignment horizontal="right" vertical="center" readingOrder="1"/>
    </xf>
    <xf numFmtId="3" fontId="26" fillId="15" borderId="2" applyAlignment="1" pivotButton="0" quotePrefix="0" xfId="0">
      <alignment horizontal="right" vertical="center" readingOrder="1"/>
    </xf>
    <xf numFmtId="0" fontId="20" fillId="7" borderId="2" applyAlignment="1" pivotButton="0" quotePrefix="0" xfId="0">
      <alignment horizontal="center" vertical="center"/>
    </xf>
    <xf numFmtId="3" fontId="20" fillId="7" borderId="2" applyAlignment="1" pivotButton="0" quotePrefix="0" xfId="0">
      <alignment horizontal="right" vertical="center"/>
    </xf>
    <xf numFmtId="0" fontId="21" fillId="14" borderId="2" applyAlignment="1" pivotButton="0" quotePrefix="0" xfId="0">
      <alignment horizontal="left" vertical="center" readingOrder="2"/>
    </xf>
    <xf numFmtId="169" fontId="21" fillId="14" borderId="2" applyAlignment="1" pivotButton="0" quotePrefix="0" xfId="0">
      <alignment horizontal="right" vertical="center" readingOrder="1"/>
    </xf>
    <xf numFmtId="0" fontId="21" fillId="14" borderId="2" applyAlignment="1" pivotButton="0" quotePrefix="0" xfId="0">
      <alignment horizontal="center" vertical="center" readingOrder="1"/>
    </xf>
    <xf numFmtId="9" fontId="21" fillId="14" borderId="2" applyAlignment="1" pivotButton="0" quotePrefix="0" xfId="0">
      <alignment horizontal="center" vertical="center" readingOrder="1"/>
    </xf>
    <xf numFmtId="170" fontId="21" fillId="14" borderId="2" applyAlignment="1" pivotButton="0" quotePrefix="0" xfId="0">
      <alignment horizontal="center" vertical="center" readingOrder="1"/>
    </xf>
    <xf numFmtId="169" fontId="21" fillId="11" borderId="2" applyAlignment="1" pivotButton="0" quotePrefix="0" xfId="0">
      <alignment horizontal="right" vertical="center" readingOrder="1"/>
    </xf>
    <xf numFmtId="0" fontId="21" fillId="11" borderId="2" applyAlignment="1" pivotButton="0" quotePrefix="0" xfId="0">
      <alignment horizontal="center" vertical="center" readingOrder="1"/>
    </xf>
    <xf numFmtId="9" fontId="21" fillId="11" borderId="2" applyAlignment="1" pivotButton="0" quotePrefix="0" xfId="0">
      <alignment horizontal="center" vertical="center" readingOrder="1"/>
    </xf>
    <xf numFmtId="170" fontId="21" fillId="11" borderId="2" applyAlignment="1" pivotButton="0" quotePrefix="0" xfId="0">
      <alignment horizontal="center" vertical="center" readingOrder="1"/>
    </xf>
    <xf numFmtId="169" fontId="21" fillId="10" borderId="2" applyAlignment="1" pivotButton="0" quotePrefix="0" xfId="0">
      <alignment horizontal="right" vertical="center" readingOrder="1"/>
    </xf>
    <xf numFmtId="0" fontId="21" fillId="10" borderId="2" applyAlignment="1" pivotButton="0" quotePrefix="0" xfId="0">
      <alignment horizontal="center" vertical="center" readingOrder="1"/>
    </xf>
    <xf numFmtId="9" fontId="21" fillId="10" borderId="2" applyAlignment="1" pivotButton="0" quotePrefix="0" xfId="0">
      <alignment horizontal="center" vertical="center" readingOrder="1"/>
    </xf>
    <xf numFmtId="170" fontId="21" fillId="10" borderId="2" applyAlignment="1" pivotButton="0" quotePrefix="0" xfId="0">
      <alignment horizontal="center" vertical="center" readingOrder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4" customWidth="1" style="37" min="1" max="1"/>
    <col width="16" customWidth="1" style="37" min="2" max="2"/>
    <col width="12" customWidth="1" style="37" min="3" max="3"/>
    <col width="7" customWidth="1" style="37" min="4" max="4"/>
    <col width="14" customWidth="1" style="37" min="5" max="8"/>
    <col width="8" customWidth="1" style="37" min="9" max="11"/>
    <col width="9" customWidth="1" style="37" min="12" max="12"/>
    <col width="12" customWidth="1" style="37" min="13" max="14"/>
    <col width="11" customWidth="1" style="37" min="15" max="15"/>
    <col width="8" customWidth="1" style="37" min="16" max="16"/>
  </cols>
  <sheetData>
    <row r="1" ht="30" customHeight="1" s="38">
      <c r="A1" s="39" t="inlineStr">
        <is>
          <t>Ice Cream Sales Dashboard — Customer Performance  |  Price DB 24.2</t>
        </is>
      </c>
    </row>
    <row r="2" ht="18" customHeight="1" s="38">
      <c r="A2" s="40" t="inlineStr">
        <is>
          <t>Data as of: March 2026  |  Revenue in NIS (₪)</t>
        </is>
      </c>
    </row>
    <row r="3" ht="34.5" customHeight="1" s="38">
      <c r="A3" s="41" t="inlineStr">
        <is>
          <t>#</t>
        </is>
      </c>
      <c r="B3" s="41" t="inlineStr">
        <is>
          <t>Customer</t>
        </is>
      </c>
      <c r="C3" s="41" t="inlineStr">
        <is>
          <t>Distributor</t>
        </is>
      </c>
      <c r="D3" s="41" t="inlineStr">
        <is>
          <t>Dist%</t>
        </is>
      </c>
      <c r="E3" s="41" t="inlineStr">
        <is>
          <t>Dec 2025
Revenue (₪)</t>
        </is>
      </c>
      <c r="F3" s="41" t="inlineStr">
        <is>
          <t>Jan 2026
Revenue (₪)</t>
        </is>
      </c>
      <c r="G3" s="41" t="inlineStr">
        <is>
          <t>Feb 2026
Revenue (₪)</t>
        </is>
      </c>
      <c r="H3" s="41" t="inlineStr">
        <is>
          <t>Total Rev
(₪)</t>
        </is>
      </c>
      <c r="I3" s="41" t="inlineStr">
        <is>
          <t>Dec
Units</t>
        </is>
      </c>
      <c r="J3" s="41" t="inlineStr">
        <is>
          <t>Jan
Units</t>
        </is>
      </c>
      <c r="K3" s="41" t="inlineStr">
        <is>
          <t>Feb
Units</t>
        </is>
      </c>
      <c r="L3" s="41" t="inlineStr">
        <is>
          <t>Total
Units</t>
        </is>
      </c>
      <c r="M3" s="41" t="inlineStr">
        <is>
          <t>Avg Price
(₪)</t>
        </is>
      </c>
      <c r="N3" s="41" t="inlineStr">
        <is>
          <t>Gross
Margin%</t>
        </is>
      </c>
      <c r="O3" s="41" t="inlineStr">
        <is>
          <t>Op
Margin%</t>
        </is>
      </c>
      <c r="P3" s="41" t="inlineStr">
        <is>
          <t>Active
SKUs</t>
        </is>
      </c>
    </row>
    <row r="4" ht="15" customHeight="1" s="38">
      <c r="A4" s="42" t="n">
        <v>1</v>
      </c>
      <c r="B4" s="42" t="inlineStr">
        <is>
          <t>AMPM</t>
        </is>
      </c>
      <c r="C4" s="42" t="inlineStr">
        <is>
          <t>מעיין</t>
        </is>
      </c>
      <c r="D4" s="43" t="n">
        <v>0.25</v>
      </c>
      <c r="E4" s="44" t="n">
        <v>267885</v>
      </c>
      <c r="F4" s="44" t="n">
        <v>55503.6</v>
      </c>
      <c r="G4" s="44" t="n">
        <v>152324.4</v>
      </c>
      <c r="H4" s="45" t="n">
        <v>475713</v>
      </c>
      <c r="I4" s="46" t="n">
        <v>19412</v>
      </c>
      <c r="J4" s="46" t="n">
        <v>4022</v>
      </c>
      <c r="K4" s="46" t="n">
        <v>11038</v>
      </c>
      <c r="L4" s="47" t="n">
        <v>34472</v>
      </c>
      <c r="M4" s="48" t="n">
        <v>12.36</v>
      </c>
      <c r="N4" s="49" t="n">
        <v>0.4742</v>
      </c>
      <c r="O4" s="49" t="n">
        <v>0.2242</v>
      </c>
      <c r="P4" s="42" t="n">
        <v>4</v>
      </c>
    </row>
    <row r="5" ht="15" customHeight="1" s="38">
      <c r="A5" s="42" t="n">
        <v>2</v>
      </c>
      <c r="B5" s="42" t="inlineStr">
        <is>
          <t>אלונית</t>
        </is>
      </c>
      <c r="C5" s="42" t="inlineStr">
        <is>
          <t>מעיין</t>
        </is>
      </c>
      <c r="D5" s="43" t="n">
        <v>0.25</v>
      </c>
      <c r="E5" s="44" t="n">
        <v>20452</v>
      </c>
      <c r="F5" s="44" t="n">
        <v>19403</v>
      </c>
      <c r="G5" s="44" t="n">
        <v>23846.4</v>
      </c>
      <c r="H5" s="45" t="n">
        <v>63701.4</v>
      </c>
      <c r="I5" s="46" t="n">
        <v>1482</v>
      </c>
      <c r="J5" s="46" t="n">
        <v>1406</v>
      </c>
      <c r="K5" s="46" t="n">
        <v>1728</v>
      </c>
      <c r="L5" s="47" t="n">
        <v>4616</v>
      </c>
      <c r="M5" s="48" t="n">
        <v>12.25</v>
      </c>
      <c r="N5" s="49" t="n">
        <v>0.4695</v>
      </c>
      <c r="O5" s="49" t="n">
        <v>0.2195</v>
      </c>
      <c r="P5" s="42" t="n">
        <v>4</v>
      </c>
    </row>
    <row r="6" ht="15" customHeight="1" s="38">
      <c r="A6" s="42" t="n">
        <v>3</v>
      </c>
      <c r="B6" s="42" t="inlineStr">
        <is>
          <t>גוד פארם</t>
        </is>
      </c>
      <c r="C6" s="42" t="inlineStr">
        <is>
          <t>אייסדרים</t>
        </is>
      </c>
      <c r="D6" s="43" t="n">
        <v>0.15</v>
      </c>
      <c r="E6" s="44" t="n"/>
      <c r="F6" s="44" t="n">
        <v>14620</v>
      </c>
      <c r="G6" s="44" t="n"/>
      <c r="H6" s="45" t="n">
        <v>14620</v>
      </c>
      <c r="I6" s="46" t="n"/>
      <c r="J6" s="46" t="n">
        <v>1128</v>
      </c>
      <c r="K6" s="46" t="n"/>
      <c r="L6" s="47" t="n">
        <v>1128</v>
      </c>
      <c r="M6" s="48" t="n">
        <v>12.67</v>
      </c>
      <c r="N6" s="49" t="n">
        <v>0.487</v>
      </c>
      <c r="O6" s="50" t="n">
        <v>0.337</v>
      </c>
      <c r="P6" s="42" t="n">
        <v>4</v>
      </c>
    </row>
    <row r="7" ht="15" customHeight="1" s="38">
      <c r="A7" s="42" t="n">
        <v>4</v>
      </c>
      <c r="B7" s="42" t="inlineStr">
        <is>
          <t>דלק</t>
        </is>
      </c>
      <c r="C7" s="42" t="inlineStr">
        <is>
          <t>מעיין</t>
        </is>
      </c>
      <c r="D7" s="43" t="n">
        <v>0.25</v>
      </c>
      <c r="E7" s="44" t="n">
        <v>31892</v>
      </c>
      <c r="F7" s="44" t="n">
        <v>20755.2</v>
      </c>
      <c r="G7" s="44" t="n">
        <v>13772.4</v>
      </c>
      <c r="H7" s="45" t="n">
        <v>66419.60000000001</v>
      </c>
      <c r="I7" s="46" t="n">
        <v>2311</v>
      </c>
      <c r="J7" s="46" t="n">
        <v>1504</v>
      </c>
      <c r="K7" s="46" t="n">
        <v>998</v>
      </c>
      <c r="L7" s="47" t="n">
        <v>4813</v>
      </c>
      <c r="M7" s="48" t="n">
        <v>12.74</v>
      </c>
      <c r="N7" s="49" t="n">
        <v>0.4898</v>
      </c>
      <c r="O7" s="51" t="n">
        <v>0.2398</v>
      </c>
      <c r="P7" s="42" t="n">
        <v>3</v>
      </c>
    </row>
    <row r="8" ht="15" customHeight="1" s="38">
      <c r="A8" s="42" t="n">
        <v>5</v>
      </c>
      <c r="B8" s="42" t="inlineStr">
        <is>
          <t>וולט מרקט</t>
        </is>
      </c>
      <c r="C8" s="42" t="inlineStr">
        <is>
          <t>אייסדרים</t>
        </is>
      </c>
      <c r="D8" s="43" t="n">
        <v>0.15</v>
      </c>
      <c r="E8" s="44" t="n">
        <v>628497.89</v>
      </c>
      <c r="F8" s="44" t="n">
        <v>496311.6</v>
      </c>
      <c r="G8" s="44" t="n">
        <v>380717.09</v>
      </c>
      <c r="H8" s="45" t="n">
        <v>1505526.58</v>
      </c>
      <c r="I8" s="46" t="n">
        <v>17586</v>
      </c>
      <c r="J8" s="46" t="n">
        <v>8924</v>
      </c>
      <c r="K8" s="46" t="n">
        <v>9685</v>
      </c>
      <c r="L8" s="47" t="n">
        <v>36195</v>
      </c>
      <c r="M8" s="48" t="n">
        <v>40.81</v>
      </c>
      <c r="N8" s="51" t="n">
        <v>0.3744</v>
      </c>
      <c r="O8" s="49" t="n">
        <v>0.2244</v>
      </c>
      <c r="P8" s="42" t="n">
        <v>3</v>
      </c>
    </row>
    <row r="9" ht="15" customHeight="1" s="38">
      <c r="A9" s="42" t="n">
        <v>6</v>
      </c>
      <c r="B9" s="42" t="inlineStr">
        <is>
          <t>טיב טעם</t>
        </is>
      </c>
      <c r="C9" s="42" t="inlineStr">
        <is>
          <t>מעיין</t>
        </is>
      </c>
      <c r="D9" s="43" t="n">
        <v>0.25</v>
      </c>
      <c r="E9" s="44" t="n">
        <v>45954</v>
      </c>
      <c r="F9" s="44" t="n">
        <v>13027.2</v>
      </c>
      <c r="G9" s="44" t="n">
        <v>22080</v>
      </c>
      <c r="H9" s="45" t="n">
        <v>81061.2</v>
      </c>
      <c r="I9" s="46" t="n">
        <v>3330</v>
      </c>
      <c r="J9" s="46" t="n">
        <v>944</v>
      </c>
      <c r="K9" s="46" t="n">
        <v>1600</v>
      </c>
      <c r="L9" s="47" t="n">
        <v>5874</v>
      </c>
      <c r="M9" s="48" t="n">
        <v>14.2</v>
      </c>
      <c r="N9" s="50" t="n">
        <v>0.5423</v>
      </c>
      <c r="O9" s="49" t="n">
        <v>0.2923</v>
      </c>
      <c r="P9" s="42" t="n">
        <v>4</v>
      </c>
    </row>
    <row r="10" ht="15" customHeight="1" s="38">
      <c r="A10" s="42" t="n">
        <v>7</v>
      </c>
      <c r="B10" s="42" t="inlineStr">
        <is>
          <t>ינגו דלי</t>
        </is>
      </c>
      <c r="C10" s="42" t="inlineStr">
        <is>
          <t>אייסדרים</t>
        </is>
      </c>
      <c r="D10" s="43" t="n">
        <v>0.15</v>
      </c>
      <c r="E10" s="44" t="n">
        <v>25173</v>
      </c>
      <c r="F10" s="44" t="n">
        <v>33111.25</v>
      </c>
      <c r="G10" s="44" t="n">
        <v>25041.13</v>
      </c>
      <c r="H10" s="45" t="n">
        <v>83325.38</v>
      </c>
      <c r="I10" s="46" t="n">
        <v>348</v>
      </c>
      <c r="J10" s="46" t="n">
        <v>663</v>
      </c>
      <c r="K10" s="46" t="n">
        <v>1046</v>
      </c>
      <c r="L10" s="47" t="n">
        <v>2057</v>
      </c>
      <c r="M10" s="48" t="n">
        <v>29.42</v>
      </c>
      <c r="N10" s="49" t="n">
        <v>0.4025</v>
      </c>
      <c r="O10" s="49" t="n">
        <v>0.2525</v>
      </c>
      <c r="P10" s="42" t="n">
        <v>3</v>
      </c>
    </row>
    <row r="11" ht="15" customHeight="1" s="38">
      <c r="A11" s="42" t="n">
        <v>8</v>
      </c>
      <c r="B11" s="42" t="inlineStr">
        <is>
          <t>כרמלה</t>
        </is>
      </c>
      <c r="C11" s="42" t="inlineStr">
        <is>
          <t>אייסדרים</t>
        </is>
      </c>
      <c r="D11" s="43" t="n">
        <v>0.15</v>
      </c>
      <c r="E11" s="44" t="n">
        <v>13440.58</v>
      </c>
      <c r="F11" s="44" t="n">
        <v>2669.88</v>
      </c>
      <c r="G11" s="44" t="n">
        <v>2676.27</v>
      </c>
      <c r="H11" s="45" t="n">
        <v>18786.73</v>
      </c>
      <c r="I11" s="46" t="n">
        <v>960</v>
      </c>
      <c r="J11" s="46" t="n">
        <v>30</v>
      </c>
      <c r="K11" s="46" t="n">
        <v>105</v>
      </c>
      <c r="L11" s="47" t="n">
        <v>1095</v>
      </c>
      <c r="M11" s="48" t="n">
        <v>22.23</v>
      </c>
      <c r="N11" s="49" t="n">
        <v>0.4349</v>
      </c>
      <c r="O11" s="49" t="n">
        <v>0.2849</v>
      </c>
      <c r="P11" s="42" t="n">
        <v>4</v>
      </c>
    </row>
    <row r="12" ht="15" customHeight="1" s="38">
      <c r="A12" s="42" t="n">
        <v>9</v>
      </c>
      <c r="B12" s="42" t="inlineStr">
        <is>
          <t>נוי השדה</t>
        </is>
      </c>
      <c r="C12" s="42" t="inlineStr">
        <is>
          <t>אייסדרים</t>
        </is>
      </c>
      <c r="D12" s="43" t="n">
        <v>0.15</v>
      </c>
      <c r="E12" s="44" t="n">
        <v>12183.29</v>
      </c>
      <c r="F12" s="44" t="n">
        <v>13679</v>
      </c>
      <c r="G12" s="44" t="n"/>
      <c r="H12" s="45" t="n">
        <v>25862.29</v>
      </c>
      <c r="I12" s="46" t="n">
        <v>930</v>
      </c>
      <c r="J12" s="46" t="n">
        <v>1044</v>
      </c>
      <c r="K12" s="46" t="n"/>
      <c r="L12" s="47" t="n">
        <v>1974</v>
      </c>
      <c r="M12" s="48" t="n">
        <v>13.59</v>
      </c>
      <c r="N12" s="49" t="n">
        <v>0.4953</v>
      </c>
      <c r="O12" s="50" t="n">
        <v>0.3453</v>
      </c>
      <c r="P12" s="42" t="n">
        <v>5</v>
      </c>
    </row>
    <row r="13" ht="15" customHeight="1" s="38">
      <c r="A13" s="42" t="n">
        <v>10</v>
      </c>
      <c r="B13" s="42" t="inlineStr">
        <is>
          <t>קארפור</t>
        </is>
      </c>
      <c r="C13" s="42" t="inlineStr">
        <is>
          <t>מעיין</t>
        </is>
      </c>
      <c r="D13" s="43" t="n">
        <v>0.25</v>
      </c>
      <c r="E13" s="44" t="n"/>
      <c r="F13" s="44" t="n"/>
      <c r="G13" s="44" t="n"/>
      <c r="H13" s="45">
        <f>E13+F13+G13</f>
        <v/>
      </c>
      <c r="I13" s="46" t="n"/>
      <c r="J13" s="46" t="n"/>
      <c r="K13" s="46" t="n"/>
      <c r="L13" s="47">
        <f>I13+J13+K13</f>
        <v/>
      </c>
      <c r="M13" s="48" t="n">
        <v>13.8</v>
      </c>
      <c r="N13" s="50" t="n">
        <v>0.529</v>
      </c>
      <c r="O13" s="50" t="n">
        <v>0.279</v>
      </c>
      <c r="P13" s="42" t="n">
        <v>4</v>
      </c>
    </row>
    <row r="14" ht="15" customHeight="1" s="38">
      <c r="A14" s="42" t="n">
        <v>11</v>
      </c>
      <c r="B14" s="42" t="inlineStr">
        <is>
          <t>שוק פרטי</t>
        </is>
      </c>
      <c r="C14" s="42" t="inlineStr">
        <is>
          <t>מעיין</t>
        </is>
      </c>
      <c r="D14" s="43" t="n">
        <v>0.25</v>
      </c>
      <c r="E14" s="44" t="n">
        <v>372544.8</v>
      </c>
      <c r="F14" s="44" t="n">
        <v>198375</v>
      </c>
      <c r="G14" s="44" t="n">
        <v>269652</v>
      </c>
      <c r="H14" s="45" t="n">
        <v>840571.8</v>
      </c>
      <c r="I14" s="46" t="n">
        <v>26996</v>
      </c>
      <c r="J14" s="46" t="n">
        <v>14375</v>
      </c>
      <c r="K14" s="46" t="n">
        <v>19540</v>
      </c>
      <c r="L14" s="47" t="n">
        <v>60911</v>
      </c>
      <c r="M14" s="48" t="n">
        <v>14.1</v>
      </c>
      <c r="N14" s="50" t="n">
        <v>0.539</v>
      </c>
      <c r="O14" s="50" t="n">
        <v>0.289</v>
      </c>
      <c r="P14" s="42" t="n">
        <v>4</v>
      </c>
    </row>
    <row r="15" ht="15" customHeight="1" s="38">
      <c r="A15" s="42" t="n">
        <v>12</v>
      </c>
      <c r="B15" s="42" t="inlineStr">
        <is>
          <t>עוגיפלצת</t>
        </is>
      </c>
      <c r="C15" s="42" t="inlineStr">
        <is>
          <t>אייסדרים</t>
        </is>
      </c>
      <c r="D15" s="43" t="n">
        <v>0.15</v>
      </c>
      <c r="E15" s="44" t="n"/>
      <c r="F15" s="44" t="n"/>
      <c r="G15" s="44" t="n">
        <v>19967.79</v>
      </c>
      <c r="H15" s="45" t="n">
        <v>19967.79</v>
      </c>
      <c r="I15" s="46" t="n"/>
      <c r="J15" s="46" t="n"/>
      <c r="K15" s="46" t="n">
        <v>1582</v>
      </c>
      <c r="L15" s="47" t="n">
        <v>1582</v>
      </c>
      <c r="M15" s="48" t="n"/>
      <c r="N15" s="50" t="n"/>
      <c r="O15" s="50" t="n"/>
      <c r="P15" s="42" t="n">
        <v>3</v>
      </c>
    </row>
    <row r="16" ht="15" customHeight="1" s="38">
      <c r="A16" s="42" t="n">
        <v>13</v>
      </c>
      <c r="B16" s="42" t="inlineStr">
        <is>
          <t>פז יילו</t>
        </is>
      </c>
      <c r="C16" s="42" t="inlineStr">
        <is>
          <t>מעיין</t>
        </is>
      </c>
      <c r="D16" s="43" t="n">
        <v>0.25</v>
      </c>
      <c r="E16" s="44" t="n">
        <v>37426</v>
      </c>
      <c r="F16" s="44" t="n">
        <v>81365</v>
      </c>
      <c r="G16" s="44" t="n">
        <v>90459</v>
      </c>
      <c r="H16" s="45" t="n">
        <v>209250</v>
      </c>
      <c r="I16" s="46" t="n">
        <v>2712</v>
      </c>
      <c r="J16" s="46" t="n">
        <v>5896</v>
      </c>
      <c r="K16" s="46" t="n">
        <v>6555</v>
      </c>
      <c r="L16" s="47" t="n">
        <v>15163</v>
      </c>
      <c r="M16" s="48" t="n">
        <v>11</v>
      </c>
      <c r="N16" s="49" t="n">
        <v>0.4091</v>
      </c>
      <c r="O16" s="51" t="n">
        <v>0.1591</v>
      </c>
      <c r="P16" s="42" t="n">
        <v>3</v>
      </c>
    </row>
    <row r="17" ht="15" customHeight="1" s="38">
      <c r="A17" s="42" t="n">
        <v>14</v>
      </c>
      <c r="B17" s="42" t="inlineStr">
        <is>
          <t>פז סופר יודה</t>
        </is>
      </c>
      <c r="C17" s="42" t="inlineStr">
        <is>
          <t>מעיין</t>
        </is>
      </c>
      <c r="D17" s="43" t="n">
        <v>0.25</v>
      </c>
      <c r="E17" s="44" t="n">
        <v>67234</v>
      </c>
      <c r="F17" s="44" t="n">
        <v>20051</v>
      </c>
      <c r="G17" s="44" t="n">
        <v>25392</v>
      </c>
      <c r="H17" s="45" t="n">
        <v>112677</v>
      </c>
      <c r="I17" s="46" t="n">
        <v>4872</v>
      </c>
      <c r="J17" s="46" t="n">
        <v>1453</v>
      </c>
      <c r="K17" s="46" t="n">
        <v>1840</v>
      </c>
      <c r="L17" s="47" t="n">
        <v>8165</v>
      </c>
      <c r="M17" s="48" t="n">
        <v>11</v>
      </c>
      <c r="N17" s="49" t="n">
        <v>0.4091</v>
      </c>
      <c r="O17" s="51" t="n">
        <v>0.1591</v>
      </c>
      <c r="P17" s="42" t="n">
        <v>3</v>
      </c>
    </row>
    <row r="18" ht="15" customHeight="1" s="38">
      <c r="A18" s="42" t="n">
        <v>15</v>
      </c>
      <c r="B18" s="42" t="inlineStr">
        <is>
          <t>סונול</t>
        </is>
      </c>
      <c r="C18" s="42" t="inlineStr">
        <is>
          <t>מעיין</t>
        </is>
      </c>
      <c r="D18" s="43" t="n">
        <v>0.25</v>
      </c>
      <c r="E18" s="44" t="n">
        <v>9108</v>
      </c>
      <c r="F18" s="44" t="n">
        <v>6734</v>
      </c>
      <c r="G18" s="44" t="n">
        <v>6596.4</v>
      </c>
      <c r="H18" s="45" t="n">
        <v>22438.4</v>
      </c>
      <c r="I18" s="46" t="n">
        <v>660</v>
      </c>
      <c r="J18" s="46" t="n">
        <v>488</v>
      </c>
      <c r="K18" s="46" t="n">
        <v>478</v>
      </c>
      <c r="L18" s="47" t="n">
        <v>1626</v>
      </c>
      <c r="M18" s="48" t="n">
        <v>14</v>
      </c>
      <c r="N18" s="50" t="n">
        <v>0.5357</v>
      </c>
      <c r="O18" s="49" t="n">
        <v>0.2857</v>
      </c>
      <c r="P18" s="42" t="n">
        <v>3</v>
      </c>
    </row>
    <row r="19" ht="15" customHeight="1" s="38">
      <c r="A19" s="42" t="n">
        <v>16</v>
      </c>
      <c r="B19" s="42" t="inlineStr">
        <is>
          <t>דומינוס</t>
        </is>
      </c>
      <c r="C19" s="42" t="inlineStr">
        <is>
          <t>אייסדרים</t>
        </is>
      </c>
      <c r="D19" s="43" t="n">
        <v>0.15</v>
      </c>
      <c r="E19" s="44" t="n"/>
      <c r="F19" s="44" t="n">
        <v>63418</v>
      </c>
      <c r="G19" s="44" t="n"/>
      <c r="H19" s="45" t="n">
        <v>63418</v>
      </c>
      <c r="I19" s="46" t="n"/>
      <c r="J19" s="46" t="n">
        <v>5646</v>
      </c>
      <c r="K19" s="46" t="n"/>
      <c r="L19" s="47" t="n">
        <v>5646</v>
      </c>
      <c r="M19" s="48" t="n">
        <v>11.4</v>
      </c>
      <c r="N19" s="49" t="n">
        <v>0.4298</v>
      </c>
      <c r="O19" s="49" t="n">
        <v>0.2798</v>
      </c>
      <c r="P19" s="42" t="n">
        <v>3</v>
      </c>
    </row>
    <row r="20" ht="15" customHeight="1" s="38">
      <c r="A20" s="42" t="n">
        <v>17</v>
      </c>
      <c r="B20" s="42" t="inlineStr">
        <is>
          <t>חוות נעמי</t>
        </is>
      </c>
      <c r="C20" s="42" t="inlineStr">
        <is>
          <t>אייסדרים</t>
        </is>
      </c>
      <c r="D20" s="43" t="n">
        <v>0.15</v>
      </c>
      <c r="E20" s="44" t="n">
        <v>7186</v>
      </c>
      <c r="F20" s="44" t="n">
        <v>17277</v>
      </c>
      <c r="G20" s="44" t="n">
        <v>30748.3</v>
      </c>
      <c r="H20" s="45" t="n">
        <v>55211.3</v>
      </c>
      <c r="I20" s="46" t="n">
        <v>465</v>
      </c>
      <c r="J20" s="46" t="n">
        <v>484</v>
      </c>
      <c r="K20" s="46" t="n">
        <v>595</v>
      </c>
      <c r="L20" s="47" t="n">
        <v>1544</v>
      </c>
      <c r="M20" s="48" t="n">
        <v>35.03</v>
      </c>
      <c r="N20" s="51" t="n">
        <v>0.3948</v>
      </c>
      <c r="O20" s="49" t="n">
        <v>0.2448</v>
      </c>
      <c r="P20" s="42" t="n">
        <v>4</v>
      </c>
    </row>
    <row r="21" ht="15" customHeight="1" s="38">
      <c r="A21" s="42" t="n">
        <v>18</v>
      </c>
      <c r="B21" s="42" t="inlineStr">
        <is>
          <t>חממה</t>
        </is>
      </c>
      <c r="C21" s="42" t="inlineStr">
        <is>
          <t>אייסדרים</t>
        </is>
      </c>
      <c r="D21" s="43" t="n">
        <v>0.15</v>
      </c>
      <c r="E21" s="44" t="n"/>
      <c r="F21" s="44" t="n"/>
      <c r="G21" s="44" t="n"/>
      <c r="H21" s="45">
        <f>E21+F21+G21</f>
        <v/>
      </c>
      <c r="I21" s="46" t="n"/>
      <c r="J21" s="46" t="n"/>
      <c r="K21" s="46" t="n"/>
      <c r="L21" s="47">
        <f>I21+J21+K21</f>
        <v/>
      </c>
      <c r="M21" s="48" t="n">
        <v>14.1</v>
      </c>
      <c r="N21" s="50" t="n">
        <v>0.539</v>
      </c>
      <c r="O21" s="50" t="n">
        <v>0.389</v>
      </c>
      <c r="P21" s="42" t="n">
        <v>4</v>
      </c>
    </row>
    <row r="22" ht="15" customHeight="1" s="38">
      <c r="A22" s="42" t="n">
        <v>19</v>
      </c>
      <c r="B22" s="42" t="inlineStr">
        <is>
          <t>פוט לוקר</t>
        </is>
      </c>
      <c r="C22" s="42" t="inlineStr">
        <is>
          <t>אייסדרים</t>
        </is>
      </c>
      <c r="D22" s="43" t="n">
        <v>0.15</v>
      </c>
      <c r="E22" s="44" t="n"/>
      <c r="F22" s="44" t="n"/>
      <c r="G22" s="44" t="n"/>
      <c r="H22" s="45">
        <f>E22+F22+G22</f>
        <v/>
      </c>
      <c r="I22" s="46" t="n"/>
      <c r="J22" s="46" t="n"/>
      <c r="K22" s="46" t="n"/>
      <c r="L22" s="47">
        <f>I22+J22+K22</f>
        <v/>
      </c>
      <c r="M22" s="48" t="n">
        <v>15.5</v>
      </c>
      <c r="N22" s="50" t="n">
        <v>0.5806</v>
      </c>
      <c r="O22" s="50" t="n">
        <v>0.4306</v>
      </c>
      <c r="P22" s="42" t="n">
        <v>4</v>
      </c>
    </row>
    <row r="23" ht="21.75" customHeight="1" s="38">
      <c r="A23" s="52" t="n"/>
      <c r="B23" s="52" t="inlineStr">
        <is>
          <t>TOTAL / AVG</t>
        </is>
      </c>
      <c r="C23" s="52" t="n"/>
      <c r="D23" s="52" t="n"/>
      <c r="E23" s="53">
        <f>SUM(E4:E22)</f>
        <v/>
      </c>
      <c r="F23" s="53">
        <f>SUM(F4:F22)</f>
        <v/>
      </c>
      <c r="G23" s="53">
        <f>SUM(G4:G22)</f>
        <v/>
      </c>
      <c r="H23" s="53">
        <f>SUM(H4:H22)</f>
        <v/>
      </c>
      <c r="I23" s="54">
        <f>SUM(I4:I22)</f>
        <v/>
      </c>
      <c r="J23" s="54">
        <f>SUM(J4:J22)</f>
        <v/>
      </c>
      <c r="K23" s="54">
        <f>SUM(K4:K22)</f>
        <v/>
      </c>
      <c r="L23" s="54">
        <f>SUM(L4:L22)</f>
        <v/>
      </c>
      <c r="M23" s="52" t="n"/>
      <c r="N23" s="55">
        <f>AVERAGE(N4:N22)</f>
        <v/>
      </c>
      <c r="O23" s="55">
        <f>AVERAGE(O4:O22)</f>
        <v/>
      </c>
      <c r="P23" s="52" t="n"/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style="38" min="1" max="1"/>
    <col width="32" customWidth="1" style="38" min="2" max="2"/>
    <col width="14" customWidth="1" style="38" min="3" max="3"/>
    <col width="14" customWidth="1" style="38" min="4" max="4"/>
    <col width="14" customWidth="1" style="38" min="5" max="5"/>
    <col width="13" customWidth="1" style="38" min="6" max="6"/>
    <col width="14" customWidth="1" style="38" min="7" max="7"/>
    <col width="14" customWidth="1" style="38" min="8" max="8"/>
  </cols>
  <sheetData>
    <row r="1" ht="30" customHeight="1" s="38">
      <c r="A1" s="56" t="inlineStr">
        <is>
          <t>SKU Pricing — Price DB 24.2</t>
        </is>
      </c>
    </row>
    <row r="2" ht="22" customHeight="1" s="38">
      <c r="A2" s="57" t="inlineStr">
        <is>
          <t>Customer</t>
        </is>
      </c>
      <c r="B2" s="57" t="inlineStr">
        <is>
          <t>Product</t>
        </is>
      </c>
      <c r="C2" s="57" t="inlineStr">
        <is>
          <t>Price (VAT0)</t>
        </is>
      </c>
      <c r="D2" s="57" t="inlineStr">
        <is>
          <t>Cost</t>
        </is>
      </c>
      <c r="E2" s="57" t="inlineStr">
        <is>
          <t>Distributor</t>
        </is>
      </c>
      <c r="F2" s="57" t="inlineStr">
        <is>
          <t>Dist %</t>
        </is>
      </c>
      <c r="G2" s="57" t="inlineStr">
        <is>
          <t>GM %</t>
        </is>
      </c>
      <c r="H2" s="57" t="inlineStr">
        <is>
          <t>OM %</t>
        </is>
      </c>
    </row>
    <row r="3" ht="18" customHeight="1" s="38">
      <c r="A3" s="58" t="inlineStr">
        <is>
          <t>AMPM</t>
        </is>
      </c>
      <c r="B3" s="58" t="inlineStr">
        <is>
          <t>גלידת חלבון וניל</t>
        </is>
      </c>
      <c r="C3" s="59" t="n">
        <v>12.23</v>
      </c>
      <c r="D3" s="59" t="n">
        <v>6.5</v>
      </c>
      <c r="E3" s="60" t="inlineStr">
        <is>
          <t>מעיין נציגויות</t>
        </is>
      </c>
      <c r="F3" s="61" t="n">
        <v>0.25</v>
      </c>
      <c r="G3" s="62" t="n">
        <v>0.4685200327064595</v>
      </c>
      <c r="H3" s="62" t="n">
        <v>0.2185200327064595</v>
      </c>
    </row>
    <row r="4" ht="18" customHeight="1" s="38">
      <c r="A4" s="63" t="inlineStr">
        <is>
          <t>AMPM</t>
        </is>
      </c>
      <c r="B4" s="63" t="inlineStr">
        <is>
          <t>גלידת חלבון מנגו</t>
        </is>
      </c>
      <c r="C4" s="64" t="n">
        <v>12.23</v>
      </c>
      <c r="D4" s="64" t="n">
        <v>6.5</v>
      </c>
      <c r="E4" s="65" t="inlineStr">
        <is>
          <t>מעיין נציגויות</t>
        </is>
      </c>
      <c r="F4" s="66" t="n">
        <v>0.25</v>
      </c>
      <c r="G4" s="67" t="n">
        <v>0.4685200327064595</v>
      </c>
      <c r="H4" s="67" t="n">
        <v>0.2185200327064595</v>
      </c>
    </row>
    <row r="5" ht="18" customHeight="1" s="38">
      <c r="A5" s="68" t="inlineStr">
        <is>
          <t>AMPM</t>
        </is>
      </c>
      <c r="B5" s="68" t="inlineStr">
        <is>
          <t>גלידת חלבון פיסטוק</t>
        </is>
      </c>
      <c r="C5" s="69" t="n">
        <v>13.4</v>
      </c>
      <c r="D5" s="69" t="n">
        <v>6.5</v>
      </c>
      <c r="E5" s="70" t="inlineStr">
        <is>
          <t>מעיין נציגויות</t>
        </is>
      </c>
      <c r="F5" s="71" t="n">
        <v>0.25</v>
      </c>
      <c r="G5" s="72" t="n">
        <v>0.5149253731343284</v>
      </c>
      <c r="H5" s="72" t="n">
        <v>0.2649253731343284</v>
      </c>
    </row>
    <row r="6" ht="18" customHeight="1" s="38">
      <c r="A6" s="63" t="inlineStr">
        <is>
          <t>AMPM</t>
        </is>
      </c>
      <c r="B6" s="63" t="inlineStr">
        <is>
          <t>גלידת חלבון שוקולד לוז</t>
        </is>
      </c>
      <c r="C6" s="64" t="n">
        <v>12.23</v>
      </c>
      <c r="D6" s="64" t="n">
        <v>6.5</v>
      </c>
      <c r="E6" s="65" t="inlineStr">
        <is>
          <t>מעיין נציגויות</t>
        </is>
      </c>
      <c r="F6" s="66" t="n">
        <v>0.25</v>
      </c>
      <c r="G6" s="67" t="n">
        <v>0.4685200327064595</v>
      </c>
      <c r="H6" s="67" t="n">
        <v>0.2185200327064595</v>
      </c>
    </row>
    <row r="8" ht="18" customHeight="1" s="38">
      <c r="A8" s="58" t="inlineStr">
        <is>
          <t>אלונית</t>
        </is>
      </c>
      <c r="B8" s="58" t="inlineStr">
        <is>
          <t>גלידת חלבון וניל</t>
        </is>
      </c>
      <c r="C8" s="59" t="n">
        <v>12.23</v>
      </c>
      <c r="D8" s="59" t="n">
        <v>6.5</v>
      </c>
      <c r="E8" s="60" t="inlineStr">
        <is>
          <t>מעיין נציגויות</t>
        </is>
      </c>
      <c r="F8" s="61" t="n">
        <v>0.25</v>
      </c>
      <c r="G8" s="62" t="n">
        <v>0.4685200327064595</v>
      </c>
      <c r="H8" s="62" t="n">
        <v>0.2185200327064595</v>
      </c>
    </row>
    <row r="9" ht="18" customHeight="1" s="38">
      <c r="A9" s="63" t="inlineStr">
        <is>
          <t>אלונית</t>
        </is>
      </c>
      <c r="B9" s="63" t="inlineStr">
        <is>
          <t>גלידת חלבון מנגו</t>
        </is>
      </c>
      <c r="C9" s="64" t="n">
        <v>12.23</v>
      </c>
      <c r="D9" s="64" t="n">
        <v>6.5</v>
      </c>
      <c r="E9" s="65" t="inlineStr">
        <is>
          <t>מעיין נציגויות</t>
        </is>
      </c>
      <c r="F9" s="66" t="n">
        <v>0.25</v>
      </c>
      <c r="G9" s="67" t="n">
        <v>0.4685200327064595</v>
      </c>
      <c r="H9" s="67" t="n">
        <v>0.2185200327064595</v>
      </c>
    </row>
    <row r="10" ht="18" customHeight="1" s="38">
      <c r="A10" s="68" t="inlineStr">
        <is>
          <t>אלונית</t>
        </is>
      </c>
      <c r="B10" s="68" t="inlineStr">
        <is>
          <t>גלידת חלבון פיסטוק</t>
        </is>
      </c>
      <c r="C10" s="69" t="n">
        <v>13.4</v>
      </c>
      <c r="D10" s="69" t="n">
        <v>6.5</v>
      </c>
      <c r="E10" s="70" t="inlineStr">
        <is>
          <t>מעיין נציגויות</t>
        </is>
      </c>
      <c r="F10" s="71" t="n">
        <v>0.25</v>
      </c>
      <c r="G10" s="72" t="n">
        <v>0.5149253731343284</v>
      </c>
      <c r="H10" s="72" t="n">
        <v>0.2649253731343284</v>
      </c>
    </row>
    <row r="11" ht="18" customHeight="1" s="38">
      <c r="A11" s="63" t="inlineStr">
        <is>
          <t>אלונית</t>
        </is>
      </c>
      <c r="B11" s="63" t="inlineStr">
        <is>
          <t>גלידת חלבון שוקולד לוז</t>
        </is>
      </c>
      <c r="C11" s="64" t="n">
        <v>12.23</v>
      </c>
      <c r="D11" s="64" t="n">
        <v>6.5</v>
      </c>
      <c r="E11" s="65" t="inlineStr">
        <is>
          <t>מעיין נציגויות</t>
        </is>
      </c>
      <c r="F11" s="66" t="n">
        <v>0.25</v>
      </c>
      <c r="G11" s="67" t="n">
        <v>0.4685200327064595</v>
      </c>
      <c r="H11" s="67" t="n">
        <v>0.2185200327064595</v>
      </c>
    </row>
    <row r="13" ht="18" customHeight="1" s="38">
      <c r="A13" s="58" t="inlineStr">
        <is>
          <t>גוד פארם</t>
        </is>
      </c>
      <c r="B13" s="58" t="inlineStr">
        <is>
          <t>גלידת חלבון וניל</t>
        </is>
      </c>
      <c r="C13" s="59" t="n">
        <v>12.66</v>
      </c>
      <c r="D13" s="59" t="n">
        <v>6.5</v>
      </c>
      <c r="E13" s="60" t="inlineStr">
        <is>
          <t>אייסדרים</t>
        </is>
      </c>
      <c r="F13" s="61" t="n">
        <v>0.15</v>
      </c>
      <c r="G13" s="62" t="n">
        <v>0.4865718799368088</v>
      </c>
      <c r="H13" s="62" t="n">
        <v>0.3365718799368088</v>
      </c>
    </row>
    <row r="14" ht="18" customHeight="1" s="38">
      <c r="A14" s="63" t="inlineStr">
        <is>
          <t>גוד פארם</t>
        </is>
      </c>
      <c r="B14" s="63" t="inlineStr">
        <is>
          <t>גלידת חלבון מנגו</t>
        </is>
      </c>
      <c r="C14" s="64" t="n">
        <v>12.66</v>
      </c>
      <c r="D14" s="64" t="n">
        <v>6.5</v>
      </c>
      <c r="E14" s="65" t="inlineStr">
        <is>
          <t>אייסדרים</t>
        </is>
      </c>
      <c r="F14" s="66" t="n">
        <v>0.15</v>
      </c>
      <c r="G14" s="67" t="n">
        <v>0.4865718799368088</v>
      </c>
      <c r="H14" s="67" t="n">
        <v>0.3365718799368088</v>
      </c>
    </row>
    <row r="15" ht="18" customHeight="1" s="38">
      <c r="A15" s="68" t="inlineStr">
        <is>
          <t>גוד פארם</t>
        </is>
      </c>
      <c r="B15" s="68" t="inlineStr">
        <is>
          <t>גלידת חלבון פיסטוק</t>
        </is>
      </c>
      <c r="C15" s="69" t="n">
        <v>13.2</v>
      </c>
      <c r="D15" s="69" t="n">
        <v>6.5</v>
      </c>
      <c r="E15" s="70" t="inlineStr">
        <is>
          <t>אייסדרים</t>
        </is>
      </c>
      <c r="F15" s="71" t="n">
        <v>0.15</v>
      </c>
      <c r="G15" s="72" t="n">
        <v>0.5075757575757576</v>
      </c>
      <c r="H15" s="72" t="n">
        <v>0.3575757575757575</v>
      </c>
    </row>
    <row r="16" ht="18" customHeight="1" s="38">
      <c r="A16" s="63" t="inlineStr">
        <is>
          <t>גוד פארם</t>
        </is>
      </c>
      <c r="B16" s="63" t="inlineStr">
        <is>
          <t>גלידת חלבון שוקולד לוז</t>
        </is>
      </c>
      <c r="C16" s="64" t="n">
        <v>12.66</v>
      </c>
      <c r="D16" s="64" t="n">
        <v>6.5</v>
      </c>
      <c r="E16" s="65" t="inlineStr">
        <is>
          <t>אייסדרים</t>
        </is>
      </c>
      <c r="F16" s="66" t="n">
        <v>0.15</v>
      </c>
      <c r="G16" s="67" t="n">
        <v>0.4865718799368088</v>
      </c>
      <c r="H16" s="67" t="n">
        <v>0.3365718799368088</v>
      </c>
    </row>
    <row r="18" ht="18" customHeight="1" s="38">
      <c r="A18" s="58" t="inlineStr">
        <is>
          <t>דומינוס</t>
        </is>
      </c>
      <c r="B18" s="58" t="inlineStr">
        <is>
          <t>גלידת חלבון וניל</t>
        </is>
      </c>
      <c r="C18" s="59" t="n">
        <v>11.4</v>
      </c>
      <c r="D18" s="59" t="n">
        <v>6.5</v>
      </c>
      <c r="E18" s="60" t="inlineStr">
        <is>
          <t>אייסדרים</t>
        </is>
      </c>
      <c r="F18" s="61" t="n">
        <v>0.15</v>
      </c>
      <c r="G18" s="62" t="n">
        <v>0.4298245614035088</v>
      </c>
      <c r="H18" s="62" t="n">
        <v>0.2798245614035088</v>
      </c>
    </row>
    <row r="19" ht="18" customHeight="1" s="38">
      <c r="A19" s="63" t="inlineStr">
        <is>
          <t>דומינוס</t>
        </is>
      </c>
      <c r="B19" s="63" t="inlineStr">
        <is>
          <t>גלידת חלבון מנגו</t>
        </is>
      </c>
      <c r="C19" s="64" t="n">
        <v>11.4</v>
      </c>
      <c r="D19" s="64" t="n">
        <v>6.5</v>
      </c>
      <c r="E19" s="65" t="inlineStr">
        <is>
          <t>אייסדרים</t>
        </is>
      </c>
      <c r="F19" s="66" t="n">
        <v>0.15</v>
      </c>
      <c r="G19" s="67" t="n">
        <v>0.4298245614035088</v>
      </c>
      <c r="H19" s="67" t="n">
        <v>0.2798245614035088</v>
      </c>
    </row>
    <row r="20" ht="18" customHeight="1" s="38">
      <c r="A20" s="68" t="inlineStr">
        <is>
          <t>דומינוס</t>
        </is>
      </c>
      <c r="B20" s="68" t="inlineStr">
        <is>
          <t>גלידת חלבון פיסטוק</t>
        </is>
      </c>
      <c r="C20" s="69" t="n">
        <v>12.3</v>
      </c>
      <c r="D20" s="69" t="n">
        <v>6.5</v>
      </c>
      <c r="E20" s="70" t="inlineStr">
        <is>
          <t>אייסדרים</t>
        </is>
      </c>
      <c r="F20" s="71" t="n">
        <v>0.15</v>
      </c>
      <c r="G20" s="72" t="n">
        <v>0.4715447154471545</v>
      </c>
      <c r="H20" s="72" t="n">
        <v>0.3215447154471545</v>
      </c>
    </row>
    <row r="21" ht="18" customHeight="1" s="38">
      <c r="A21" s="63" t="inlineStr">
        <is>
          <t>דומינוס</t>
        </is>
      </c>
      <c r="B21" s="63" t="inlineStr">
        <is>
          <t>גלידת חלבון שוקולד לוז</t>
        </is>
      </c>
      <c r="C21" s="64" t="n">
        <v>11.4</v>
      </c>
      <c r="D21" s="64" t="n">
        <v>6.5</v>
      </c>
      <c r="E21" s="65" t="inlineStr">
        <is>
          <t>אייסדרים</t>
        </is>
      </c>
      <c r="F21" s="66" t="n">
        <v>0.15</v>
      </c>
      <c r="G21" s="67" t="n">
        <v>0.4298245614035088</v>
      </c>
      <c r="H21" s="67" t="n">
        <v>0.2798245614035088</v>
      </c>
    </row>
    <row r="23" ht="18" customHeight="1" s="38">
      <c r="A23" s="58" t="inlineStr">
        <is>
          <t>דלק</t>
        </is>
      </c>
      <c r="B23" s="58" t="inlineStr">
        <is>
          <t>גלידת חלבון וניל</t>
        </is>
      </c>
      <c r="C23" s="59" t="n">
        <v>12.74</v>
      </c>
      <c r="D23" s="59" t="n">
        <v>6.5</v>
      </c>
      <c r="E23" s="60" t="inlineStr">
        <is>
          <t>מעיין נציגויות</t>
        </is>
      </c>
      <c r="F23" s="61" t="n">
        <v>0.25</v>
      </c>
      <c r="G23" s="62" t="n">
        <v>0.4897959183673469</v>
      </c>
      <c r="H23" s="62" t="n">
        <v>0.2397959183673469</v>
      </c>
    </row>
    <row r="24" ht="18" customHeight="1" s="38">
      <c r="A24" s="63" t="inlineStr">
        <is>
          <t>דלק</t>
        </is>
      </c>
      <c r="B24" s="63" t="inlineStr">
        <is>
          <t>גלידת חלבון מנגו</t>
        </is>
      </c>
      <c r="C24" s="64" t="n">
        <v>12.74</v>
      </c>
      <c r="D24" s="64" t="n">
        <v>6.5</v>
      </c>
      <c r="E24" s="65" t="inlineStr">
        <is>
          <t>מעיין נציגויות</t>
        </is>
      </c>
      <c r="F24" s="66" t="n">
        <v>0.25</v>
      </c>
      <c r="G24" s="67" t="n">
        <v>0.4897959183673469</v>
      </c>
      <c r="H24" s="67" t="n">
        <v>0.2397959183673469</v>
      </c>
    </row>
    <row r="25" ht="18" customHeight="1" s="38">
      <c r="A25" s="68" t="inlineStr">
        <is>
          <t>דלק</t>
        </is>
      </c>
      <c r="B25" s="68" t="inlineStr">
        <is>
          <t>גלידת חלבון פיסטוק</t>
        </is>
      </c>
      <c r="C25" s="69" t="n">
        <v>13.559</v>
      </c>
      <c r="D25" s="69" t="n">
        <v>6.5</v>
      </c>
      <c r="E25" s="70" t="inlineStr">
        <is>
          <t>מעיין נציגויות</t>
        </is>
      </c>
      <c r="F25" s="71" t="n">
        <v>0.25</v>
      </c>
      <c r="G25" s="72" t="n">
        <v>0.5206136145733461</v>
      </c>
      <c r="H25" s="72" t="n">
        <v>0.2706136145733461</v>
      </c>
    </row>
    <row r="26" ht="18" customHeight="1" s="38">
      <c r="A26" s="63" t="inlineStr">
        <is>
          <t>דלק</t>
        </is>
      </c>
      <c r="B26" s="63" t="inlineStr">
        <is>
          <t>גלידת חלבון שוקולד לוז</t>
        </is>
      </c>
      <c r="C26" s="64" t="n">
        <v>12.74</v>
      </c>
      <c r="D26" s="64" t="n">
        <v>6.5</v>
      </c>
      <c r="E26" s="65" t="inlineStr">
        <is>
          <t>מעיין נציגויות</t>
        </is>
      </c>
      <c r="F26" s="66" t="n">
        <v>0.25</v>
      </c>
      <c r="G26" s="67" t="n">
        <v>0.4897959183673469</v>
      </c>
      <c r="H26" s="67" t="n">
        <v>0.2397959183673469</v>
      </c>
    </row>
    <row r="28" ht="18" customHeight="1" s="38">
      <c r="A28" s="58" t="inlineStr">
        <is>
          <t>וולט מרקט</t>
        </is>
      </c>
      <c r="B28" s="58" t="inlineStr">
        <is>
          <t>גלידת חלבון וניל</t>
        </is>
      </c>
      <c r="C28" s="59" t="n">
        <v>13.8</v>
      </c>
      <c r="D28" s="59" t="n">
        <v>6.5</v>
      </c>
      <c r="E28" s="60" t="inlineStr">
        <is>
          <t>אייסדרים</t>
        </is>
      </c>
      <c r="F28" s="61" t="n">
        <v>0.15</v>
      </c>
      <c r="G28" s="62" t="n">
        <v>0.5289855072463768</v>
      </c>
      <c r="H28" s="62" t="n">
        <v>0.3789855072463768</v>
      </c>
    </row>
    <row r="29" ht="18" customHeight="1" s="38">
      <c r="A29" s="63" t="inlineStr">
        <is>
          <t>וולט מרקט</t>
        </is>
      </c>
      <c r="B29" s="63" t="inlineStr">
        <is>
          <t>גלידת חלבון מנגו</t>
        </is>
      </c>
      <c r="C29" s="64" t="n">
        <v>13.8</v>
      </c>
      <c r="D29" s="64" t="n">
        <v>6.5</v>
      </c>
      <c r="E29" s="65" t="inlineStr">
        <is>
          <t>אייסדרים</t>
        </is>
      </c>
      <c r="F29" s="66" t="n">
        <v>0.15</v>
      </c>
      <c r="G29" s="67" t="n">
        <v>0.5289855072463768</v>
      </c>
      <c r="H29" s="67" t="n">
        <v>0.3789855072463768</v>
      </c>
    </row>
    <row r="30" ht="18" customHeight="1" s="38">
      <c r="A30" s="68" t="inlineStr">
        <is>
          <t>וולט מרקט</t>
        </is>
      </c>
      <c r="B30" s="68" t="inlineStr">
        <is>
          <t>גלידת חלבון פיסטוק</t>
        </is>
      </c>
      <c r="C30" s="69" t="n">
        <v>13.8</v>
      </c>
      <c r="D30" s="69" t="n">
        <v>6.5</v>
      </c>
      <c r="E30" s="70" t="inlineStr">
        <is>
          <t>אייסדרים</t>
        </is>
      </c>
      <c r="F30" s="71" t="n">
        <v>0.15</v>
      </c>
      <c r="G30" s="72" t="n">
        <v>0.5289855072463768</v>
      </c>
      <c r="H30" s="72" t="n">
        <v>0.3789855072463768</v>
      </c>
    </row>
    <row r="31" ht="18" customHeight="1" s="38">
      <c r="A31" s="63" t="inlineStr">
        <is>
          <t>וולט מרקט</t>
        </is>
      </c>
      <c r="B31" s="63" t="inlineStr">
        <is>
          <t>גלידת חלבון שוקולד לוז</t>
        </is>
      </c>
      <c r="C31" s="64" t="n">
        <v>13.8</v>
      </c>
      <c r="D31" s="64" t="n">
        <v>6.5</v>
      </c>
      <c r="E31" s="65" t="inlineStr">
        <is>
          <t>אייסדרים</t>
        </is>
      </c>
      <c r="F31" s="66" t="n">
        <v>0.15</v>
      </c>
      <c r="G31" s="67" t="n">
        <v>0.5289855072463768</v>
      </c>
      <c r="H31" s="67" t="n">
        <v>0.3789855072463768</v>
      </c>
    </row>
    <row r="32" ht="18" customHeight="1" s="38">
      <c r="A32" s="73" t="inlineStr">
        <is>
          <t>וולט מרקט</t>
        </is>
      </c>
      <c r="B32" s="73" t="inlineStr">
        <is>
          <t>דרים קייק</t>
        </is>
      </c>
      <c r="C32" s="74" t="n">
        <v>81.09999999999999</v>
      </c>
      <c r="D32" s="74" t="n">
        <v>53.5</v>
      </c>
      <c r="E32" s="75" t="inlineStr">
        <is>
          <t>אייסדרים</t>
        </is>
      </c>
      <c r="F32" s="76" t="n">
        <v>0.15</v>
      </c>
      <c r="G32" s="77" t="n">
        <v>0.3403205918618988</v>
      </c>
      <c r="H32" s="77" t="n">
        <v>0.1903205918618988</v>
      </c>
    </row>
    <row r="34" ht="18" customHeight="1" s="38">
      <c r="A34" s="63" t="inlineStr">
        <is>
          <t>חוות נעמי</t>
        </is>
      </c>
      <c r="B34" s="63" t="inlineStr">
        <is>
          <t>גלידת חלבון וניל</t>
        </is>
      </c>
      <c r="C34" s="64" t="n">
        <v>13.2</v>
      </c>
      <c r="D34" s="64" t="n">
        <v>6.5</v>
      </c>
      <c r="E34" s="65" t="inlineStr">
        <is>
          <t>אייסדרים</t>
        </is>
      </c>
      <c r="F34" s="66" t="n">
        <v>0.15</v>
      </c>
      <c r="G34" s="67" t="n">
        <v>0.5075757575757576</v>
      </c>
      <c r="H34" s="67" t="n">
        <v>0.3575757575757575</v>
      </c>
    </row>
    <row r="35" ht="18" customHeight="1" s="38">
      <c r="A35" s="58" t="inlineStr">
        <is>
          <t>חוות נעמי</t>
        </is>
      </c>
      <c r="B35" s="58" t="inlineStr">
        <is>
          <t>גלידת חלבון מנגו</t>
        </is>
      </c>
      <c r="C35" s="59" t="n">
        <v>13.2</v>
      </c>
      <c r="D35" s="59" t="n">
        <v>6.5</v>
      </c>
      <c r="E35" s="60" t="inlineStr">
        <is>
          <t>אייסדרים</t>
        </is>
      </c>
      <c r="F35" s="61" t="n">
        <v>0.15</v>
      </c>
      <c r="G35" s="62" t="n">
        <v>0.5075757575757576</v>
      </c>
      <c r="H35" s="62" t="n">
        <v>0.3575757575757575</v>
      </c>
    </row>
    <row r="36" ht="18" customHeight="1" s="38">
      <c r="A36" s="68" t="inlineStr">
        <is>
          <t>חוות נעמי</t>
        </is>
      </c>
      <c r="B36" s="68" t="inlineStr">
        <is>
          <t>גלידת חלבון פיסטוק</t>
        </is>
      </c>
      <c r="C36" s="69" t="n">
        <v>13.9</v>
      </c>
      <c r="D36" s="69" t="n">
        <v>6.5</v>
      </c>
      <c r="E36" s="70" t="inlineStr">
        <is>
          <t>אייסדרים</t>
        </is>
      </c>
      <c r="F36" s="71" t="n">
        <v>0.15</v>
      </c>
      <c r="G36" s="72" t="n">
        <v>0.5323741007194245</v>
      </c>
      <c r="H36" s="72" t="n">
        <v>0.3823741007194245</v>
      </c>
    </row>
    <row r="37" ht="18" customHeight="1" s="38">
      <c r="A37" s="58" t="inlineStr">
        <is>
          <t>חוות נעמי</t>
        </is>
      </c>
      <c r="B37" s="58" t="inlineStr">
        <is>
          <t>גלידת חלבון שוקולד לוז</t>
        </is>
      </c>
      <c r="C37" s="59" t="n">
        <v>13.2</v>
      </c>
      <c r="D37" s="59" t="n">
        <v>6.5</v>
      </c>
      <c r="E37" s="60" t="inlineStr">
        <is>
          <t>אייסדרים</t>
        </is>
      </c>
      <c r="F37" s="61" t="n">
        <v>0.15</v>
      </c>
      <c r="G37" s="62" t="n">
        <v>0.5075757575757576</v>
      </c>
      <c r="H37" s="62" t="n">
        <v>0.3575757575757575</v>
      </c>
    </row>
    <row r="38" ht="18" customHeight="1" s="38">
      <c r="A38" s="73" t="inlineStr">
        <is>
          <t>חוות נעמי</t>
        </is>
      </c>
      <c r="B38" s="73" t="inlineStr">
        <is>
          <t>דרים קייק</t>
        </is>
      </c>
      <c r="C38" s="74" t="n">
        <v>83</v>
      </c>
      <c r="D38" s="74" t="n">
        <v>53.5</v>
      </c>
      <c r="E38" s="75" t="inlineStr">
        <is>
          <t>אייסדרים</t>
        </is>
      </c>
      <c r="F38" s="76" t="n">
        <v>0.15</v>
      </c>
      <c r="G38" s="77" t="n">
        <v>0.3554216867469879</v>
      </c>
      <c r="H38" s="77" t="n">
        <v>0.2054216867469879</v>
      </c>
    </row>
    <row r="40" ht="18" customHeight="1" s="38">
      <c r="A40" s="58" t="inlineStr">
        <is>
          <t>חממה</t>
        </is>
      </c>
      <c r="B40" s="58" t="inlineStr">
        <is>
          <t>גלידת חלבון וניל</t>
        </is>
      </c>
      <c r="C40" s="59" t="n">
        <v>14.1</v>
      </c>
      <c r="D40" s="59" t="n">
        <v>6.5</v>
      </c>
      <c r="E40" s="60" t="inlineStr">
        <is>
          <t>אייסדרים</t>
        </is>
      </c>
      <c r="F40" s="61" t="n">
        <v>0.15</v>
      </c>
      <c r="G40" s="62" t="n">
        <v>0.5390070921985816</v>
      </c>
      <c r="H40" s="62" t="n">
        <v>0.3890070921985815</v>
      </c>
    </row>
    <row r="41" ht="18" customHeight="1" s="38">
      <c r="A41" s="63" t="inlineStr">
        <is>
          <t>חממה</t>
        </is>
      </c>
      <c r="B41" s="63" t="inlineStr">
        <is>
          <t>גלידת חלבון מנגו</t>
        </is>
      </c>
      <c r="C41" s="64" t="n">
        <v>14.1</v>
      </c>
      <c r="D41" s="64" t="n">
        <v>6.5</v>
      </c>
      <c r="E41" s="65" t="inlineStr">
        <is>
          <t>אייסדרים</t>
        </is>
      </c>
      <c r="F41" s="66" t="n">
        <v>0.15</v>
      </c>
      <c r="G41" s="67" t="n">
        <v>0.5390070921985816</v>
      </c>
      <c r="H41" s="67" t="n">
        <v>0.3890070921985815</v>
      </c>
    </row>
    <row r="42" ht="18" customHeight="1" s="38">
      <c r="A42" s="68" t="inlineStr">
        <is>
          <t>חממה</t>
        </is>
      </c>
      <c r="B42" s="68" t="inlineStr">
        <is>
          <t>גלידת חלבון פיסטוק</t>
        </is>
      </c>
      <c r="C42" s="69" t="n">
        <v>14.1</v>
      </c>
      <c r="D42" s="69" t="n">
        <v>6.5</v>
      </c>
      <c r="E42" s="70" t="inlineStr">
        <is>
          <t>אייסדרים</t>
        </is>
      </c>
      <c r="F42" s="71" t="n">
        <v>0.15</v>
      </c>
      <c r="G42" s="72" t="n">
        <v>0.5390070921985816</v>
      </c>
      <c r="H42" s="72" t="n">
        <v>0.3890070921985815</v>
      </c>
    </row>
    <row r="43" ht="18" customHeight="1" s="38">
      <c r="A43" s="63" t="inlineStr">
        <is>
          <t>חממה</t>
        </is>
      </c>
      <c r="B43" s="63" t="inlineStr">
        <is>
          <t>גלידת חלבון שוקולד לוז</t>
        </is>
      </c>
      <c r="C43" s="64" t="n">
        <v>14.1</v>
      </c>
      <c r="D43" s="64" t="n">
        <v>6.5</v>
      </c>
      <c r="E43" s="65" t="inlineStr">
        <is>
          <t>אייסדרים</t>
        </is>
      </c>
      <c r="F43" s="66" t="n">
        <v>0.15</v>
      </c>
      <c r="G43" s="67" t="n">
        <v>0.5390070921985816</v>
      </c>
      <c r="H43" s="67" t="n">
        <v>0.3890070921985815</v>
      </c>
    </row>
    <row r="45" ht="18" customHeight="1" s="38">
      <c r="A45" s="58" t="inlineStr">
        <is>
          <t>טיב טעם</t>
        </is>
      </c>
      <c r="B45" s="58" t="inlineStr">
        <is>
          <t>גלידת חלבון וניל</t>
        </is>
      </c>
      <c r="C45" s="59" t="n">
        <v>14.2</v>
      </c>
      <c r="D45" s="59" t="n">
        <v>6.5</v>
      </c>
      <c r="E45" s="60" t="inlineStr">
        <is>
          <t>מעיין נציגויות</t>
        </is>
      </c>
      <c r="F45" s="61" t="n">
        <v>0.25</v>
      </c>
      <c r="G45" s="62" t="n">
        <v>0.5422535211267605</v>
      </c>
      <c r="H45" s="62" t="n">
        <v>0.2922535211267605</v>
      </c>
    </row>
    <row r="46" ht="18" customHeight="1" s="38">
      <c r="A46" s="63" t="inlineStr">
        <is>
          <t>טיב טעם</t>
        </is>
      </c>
      <c r="B46" s="63" t="inlineStr">
        <is>
          <t>גלידת חלבון מנגו</t>
        </is>
      </c>
      <c r="C46" s="64" t="n">
        <v>14.2</v>
      </c>
      <c r="D46" s="64" t="n">
        <v>6.5</v>
      </c>
      <c r="E46" s="65" t="inlineStr">
        <is>
          <t>מעיין נציגויות</t>
        </is>
      </c>
      <c r="F46" s="66" t="n">
        <v>0.25</v>
      </c>
      <c r="G46" s="67" t="n">
        <v>0.5422535211267605</v>
      </c>
      <c r="H46" s="67" t="n">
        <v>0.2922535211267605</v>
      </c>
    </row>
    <row r="47" ht="18" customHeight="1" s="38">
      <c r="A47" s="68" t="inlineStr">
        <is>
          <t>טיב טעם</t>
        </is>
      </c>
      <c r="B47" s="68" t="inlineStr">
        <is>
          <t>גלידת חלבון פיסטוק</t>
        </is>
      </c>
      <c r="C47" s="69" t="n">
        <v>14.2</v>
      </c>
      <c r="D47" s="69" t="n">
        <v>6.5</v>
      </c>
      <c r="E47" s="70" t="inlineStr">
        <is>
          <t>מעיין נציגויות</t>
        </is>
      </c>
      <c r="F47" s="71" t="n">
        <v>0.25</v>
      </c>
      <c r="G47" s="72" t="n">
        <v>0.5422535211267605</v>
      </c>
      <c r="H47" s="72" t="n">
        <v>0.2922535211267605</v>
      </c>
    </row>
    <row r="48" ht="18" customHeight="1" s="38">
      <c r="A48" s="63" t="inlineStr">
        <is>
          <t>טיב טעם</t>
        </is>
      </c>
      <c r="B48" s="63" t="inlineStr">
        <is>
          <t>גלידת חלבון שוקולד לוז</t>
        </is>
      </c>
      <c r="C48" s="64" t="n">
        <v>14.2</v>
      </c>
      <c r="D48" s="64" t="n">
        <v>6.5</v>
      </c>
      <c r="E48" s="65" t="inlineStr">
        <is>
          <t>מעיין נציגויות</t>
        </is>
      </c>
      <c r="F48" s="66" t="n">
        <v>0.25</v>
      </c>
      <c r="G48" s="67" t="n">
        <v>0.5422535211267605</v>
      </c>
      <c r="H48" s="67" t="n">
        <v>0.2922535211267605</v>
      </c>
    </row>
    <row r="50" ht="18" customHeight="1" s="38">
      <c r="A50" s="58" t="inlineStr">
        <is>
          <t>ינגו דלי</t>
        </is>
      </c>
      <c r="B50" s="58" t="inlineStr">
        <is>
          <t>גלידת חלבון וניל</t>
        </is>
      </c>
      <c r="C50" s="59" t="n">
        <v>13.5</v>
      </c>
      <c r="D50" s="59" t="n">
        <v>6.5</v>
      </c>
      <c r="E50" s="60" t="inlineStr">
        <is>
          <t>אייסדרים</t>
        </is>
      </c>
      <c r="F50" s="61" t="n">
        <v>0.15</v>
      </c>
      <c r="G50" s="62" t="n">
        <v>0.5185185185185185</v>
      </c>
      <c r="H50" s="62" t="n">
        <v>0.3685185185185185</v>
      </c>
    </row>
    <row r="51" ht="18" customHeight="1" s="38">
      <c r="A51" s="63" t="inlineStr">
        <is>
          <t>ינגו דלי</t>
        </is>
      </c>
      <c r="B51" s="63" t="inlineStr">
        <is>
          <t>גלידת חלבון מנגו</t>
        </is>
      </c>
      <c r="C51" s="64" t="n">
        <v>13.5</v>
      </c>
      <c r="D51" s="64" t="n">
        <v>6.5</v>
      </c>
      <c r="E51" s="65" t="inlineStr">
        <is>
          <t>אייסדרים</t>
        </is>
      </c>
      <c r="F51" s="66" t="n">
        <v>0.15</v>
      </c>
      <c r="G51" s="67" t="n">
        <v>0.5185185185185185</v>
      </c>
      <c r="H51" s="67" t="n">
        <v>0.3685185185185185</v>
      </c>
    </row>
    <row r="52" ht="18" customHeight="1" s="38">
      <c r="A52" s="68" t="inlineStr">
        <is>
          <t>ינגו דלי</t>
        </is>
      </c>
      <c r="B52" s="68" t="inlineStr">
        <is>
          <t>גלידת חלבון פיסטוק</t>
        </is>
      </c>
      <c r="C52" s="69" t="n">
        <v>13.9</v>
      </c>
      <c r="D52" s="69" t="n">
        <v>6.5</v>
      </c>
      <c r="E52" s="70" t="inlineStr">
        <is>
          <t>אייסדרים</t>
        </is>
      </c>
      <c r="F52" s="71" t="n">
        <v>0.15</v>
      </c>
      <c r="G52" s="72" t="n">
        <v>0.5323741007194245</v>
      </c>
      <c r="H52" s="72" t="n">
        <v>0.3823741007194245</v>
      </c>
    </row>
    <row r="53" ht="18" customHeight="1" s="38">
      <c r="A53" s="63" t="inlineStr">
        <is>
          <t>ינגו דלי</t>
        </is>
      </c>
      <c r="B53" s="63" t="inlineStr">
        <is>
          <t>גלידת חלבון שוקולד לוז</t>
        </is>
      </c>
      <c r="C53" s="64" t="n">
        <v>13.5</v>
      </c>
      <c r="D53" s="64" t="n">
        <v>6.5</v>
      </c>
      <c r="E53" s="65" t="inlineStr">
        <is>
          <t>אייסדרים</t>
        </is>
      </c>
      <c r="F53" s="66" t="n">
        <v>0.15</v>
      </c>
      <c r="G53" s="67" t="n">
        <v>0.5185185185185185</v>
      </c>
      <c r="H53" s="67" t="n">
        <v>0.3685185185185185</v>
      </c>
    </row>
    <row r="54" ht="18" customHeight="1" s="38">
      <c r="A54" s="73" t="inlineStr">
        <is>
          <t>ינגו דלי</t>
        </is>
      </c>
      <c r="B54" s="73" t="inlineStr">
        <is>
          <t>דרים קייק</t>
        </is>
      </c>
      <c r="C54" s="74" t="n">
        <v>81.2</v>
      </c>
      <c r="D54" s="74" t="n">
        <v>53.5</v>
      </c>
      <c r="E54" s="75" t="inlineStr">
        <is>
          <t>אייסדרים</t>
        </is>
      </c>
      <c r="F54" s="76" t="n">
        <v>0.15</v>
      </c>
      <c r="G54" s="77" t="n">
        <v>0.3411330049261084</v>
      </c>
      <c r="H54" s="77" t="n">
        <v>0.1911330049261084</v>
      </c>
    </row>
    <row r="56" ht="18" customHeight="1" s="38">
      <c r="A56" s="63" t="inlineStr">
        <is>
          <t>כרמלה</t>
        </is>
      </c>
      <c r="B56" s="63" t="inlineStr">
        <is>
          <t>גלידת חלבון וניל</t>
        </is>
      </c>
      <c r="C56" s="64" t="n">
        <v>14</v>
      </c>
      <c r="D56" s="64" t="n">
        <v>6.5</v>
      </c>
      <c r="E56" s="65" t="inlineStr">
        <is>
          <t>אייסדרים</t>
        </is>
      </c>
      <c r="F56" s="66" t="n">
        <v>0.15</v>
      </c>
      <c r="G56" s="67" t="n">
        <v>0.5357142857142857</v>
      </c>
      <c r="H56" s="67" t="n">
        <v>0.3857142857142857</v>
      </c>
    </row>
    <row r="57" ht="18" customHeight="1" s="38">
      <c r="A57" s="58" t="inlineStr">
        <is>
          <t>כרמלה</t>
        </is>
      </c>
      <c r="B57" s="58" t="inlineStr">
        <is>
          <t>גלידת חלבון מנגו</t>
        </is>
      </c>
      <c r="C57" s="59" t="n">
        <v>14</v>
      </c>
      <c r="D57" s="59" t="n">
        <v>6.5</v>
      </c>
      <c r="E57" s="60" t="inlineStr">
        <is>
          <t>אייסדרים</t>
        </is>
      </c>
      <c r="F57" s="61" t="n">
        <v>0.15</v>
      </c>
      <c r="G57" s="62" t="n">
        <v>0.5357142857142857</v>
      </c>
      <c r="H57" s="62" t="n">
        <v>0.3857142857142857</v>
      </c>
    </row>
    <row r="58" ht="18" customHeight="1" s="38">
      <c r="A58" s="68" t="inlineStr">
        <is>
          <t>כרמלה</t>
        </is>
      </c>
      <c r="B58" s="68" t="inlineStr">
        <is>
          <t>גלידת חלבון פיסטוק</t>
        </is>
      </c>
      <c r="C58" s="69" t="n">
        <v>14</v>
      </c>
      <c r="D58" s="69" t="n">
        <v>6.5</v>
      </c>
      <c r="E58" s="70" t="inlineStr">
        <is>
          <t>אייסדרים</t>
        </is>
      </c>
      <c r="F58" s="71" t="n">
        <v>0.15</v>
      </c>
      <c r="G58" s="72" t="n">
        <v>0.5357142857142857</v>
      </c>
      <c r="H58" s="72" t="n">
        <v>0.3857142857142857</v>
      </c>
    </row>
    <row r="59" ht="18" customHeight="1" s="38">
      <c r="A59" s="58" t="inlineStr">
        <is>
          <t>כרמלה</t>
        </is>
      </c>
      <c r="B59" s="58" t="inlineStr">
        <is>
          <t>גלידת חלבון שוקולד לוז</t>
        </is>
      </c>
      <c r="C59" s="59" t="n">
        <v>14</v>
      </c>
      <c r="D59" s="59" t="n">
        <v>6.5</v>
      </c>
      <c r="E59" s="60" t="inlineStr">
        <is>
          <t>אייסדרים</t>
        </is>
      </c>
      <c r="F59" s="61" t="n">
        <v>0.15</v>
      </c>
      <c r="G59" s="62" t="n">
        <v>0.5357142857142857</v>
      </c>
      <c r="H59" s="62" t="n">
        <v>0.3857142857142857</v>
      </c>
    </row>
    <row r="60" ht="18" customHeight="1" s="38">
      <c r="A60" s="73" t="inlineStr">
        <is>
          <t>כרמלה</t>
        </is>
      </c>
      <c r="B60" s="73" t="inlineStr">
        <is>
          <t>דרים קייק</t>
        </is>
      </c>
      <c r="C60" s="74" t="n">
        <v>89</v>
      </c>
      <c r="D60" s="74" t="n">
        <v>53.5</v>
      </c>
      <c r="E60" s="75" t="inlineStr">
        <is>
          <t>אייסדרים</t>
        </is>
      </c>
      <c r="F60" s="76" t="n">
        <v>0.15</v>
      </c>
      <c r="G60" s="77" t="n">
        <v>0.398876404494382</v>
      </c>
      <c r="H60" s="77" t="n">
        <v>0.248876404494382</v>
      </c>
    </row>
    <row r="62" ht="18" customHeight="1" s="38">
      <c r="A62" s="58" t="inlineStr">
        <is>
          <t>נוי השדה</t>
        </is>
      </c>
      <c r="B62" s="58" t="inlineStr">
        <is>
          <t>גלידת חלבון וניל</t>
        </is>
      </c>
      <c r="C62" s="59" t="n">
        <v>13.1</v>
      </c>
      <c r="D62" s="59" t="n">
        <v>6.5</v>
      </c>
      <c r="E62" s="60" t="inlineStr">
        <is>
          <t>אייסדרים</t>
        </is>
      </c>
      <c r="F62" s="61" t="n">
        <v>0.15</v>
      </c>
      <c r="G62" s="62" t="n">
        <v>0.5038167938931297</v>
      </c>
      <c r="H62" s="62" t="n">
        <v>0.3538167938931297</v>
      </c>
    </row>
    <row r="63" ht="18" customHeight="1" s="38">
      <c r="A63" s="63" t="inlineStr">
        <is>
          <t>נוי השדה</t>
        </is>
      </c>
      <c r="B63" s="63" t="inlineStr">
        <is>
          <t>גלידת חלבון מנגו</t>
        </is>
      </c>
      <c r="C63" s="64" t="n">
        <v>13.1</v>
      </c>
      <c r="D63" s="64" t="n">
        <v>6.5</v>
      </c>
      <c r="E63" s="65" t="inlineStr">
        <is>
          <t>אייסדרים</t>
        </is>
      </c>
      <c r="F63" s="66" t="n">
        <v>0.15</v>
      </c>
      <c r="G63" s="67" t="n">
        <v>0.5038167938931297</v>
      </c>
      <c r="H63" s="67" t="n">
        <v>0.3538167938931297</v>
      </c>
    </row>
    <row r="64" ht="18" customHeight="1" s="38">
      <c r="A64" s="68" t="inlineStr">
        <is>
          <t>נוי השדה</t>
        </is>
      </c>
      <c r="B64" s="68" t="inlineStr">
        <is>
          <t>גלידת חלבון פיסטוק</t>
        </is>
      </c>
      <c r="C64" s="69" t="n">
        <v>13.9</v>
      </c>
      <c r="D64" s="69" t="n">
        <v>6.5</v>
      </c>
      <c r="E64" s="70" t="inlineStr">
        <is>
          <t>אייסדרים</t>
        </is>
      </c>
      <c r="F64" s="71" t="n">
        <v>0.15</v>
      </c>
      <c r="G64" s="72" t="n">
        <v>0.5323741007194245</v>
      </c>
      <c r="H64" s="72" t="n">
        <v>0.3823741007194245</v>
      </c>
    </row>
    <row r="65" ht="18" customHeight="1" s="38">
      <c r="A65" s="63" t="inlineStr">
        <is>
          <t>נוי השדה</t>
        </is>
      </c>
      <c r="B65" s="63" t="inlineStr">
        <is>
          <t>גלידת חלבון שוקולד לוז</t>
        </is>
      </c>
      <c r="C65" s="64" t="n">
        <v>13.1</v>
      </c>
      <c r="D65" s="64" t="n">
        <v>6.5</v>
      </c>
      <c r="E65" s="65" t="inlineStr">
        <is>
          <t>אייסדרים</t>
        </is>
      </c>
      <c r="F65" s="66" t="n">
        <v>0.15</v>
      </c>
      <c r="G65" s="67" t="n">
        <v>0.5038167938931297</v>
      </c>
      <c r="H65" s="67" t="n">
        <v>0.3538167938931297</v>
      </c>
    </row>
    <row r="67" ht="18" customHeight="1" s="38">
      <c r="A67" s="58" t="inlineStr">
        <is>
          <t>סונול</t>
        </is>
      </c>
      <c r="B67" s="58" t="inlineStr">
        <is>
          <t>גלידת חלבון וניל</t>
        </is>
      </c>
      <c r="C67" s="59" t="n">
        <v>14</v>
      </c>
      <c r="D67" s="59" t="n">
        <v>6.5</v>
      </c>
      <c r="E67" s="60" t="inlineStr">
        <is>
          <t>מעיין נציגויות</t>
        </is>
      </c>
      <c r="F67" s="61" t="n">
        <v>0.25</v>
      </c>
      <c r="G67" s="62" t="n">
        <v>0.5357142857142857</v>
      </c>
      <c r="H67" s="62" t="n">
        <v>0.2857142857142857</v>
      </c>
    </row>
    <row r="68" ht="18" customHeight="1" s="38">
      <c r="A68" s="63" t="inlineStr">
        <is>
          <t>סונול</t>
        </is>
      </c>
      <c r="B68" s="63" t="inlineStr">
        <is>
          <t>גלידת חלבון מנגו</t>
        </is>
      </c>
      <c r="C68" s="64" t="n">
        <v>14</v>
      </c>
      <c r="D68" s="64" t="n">
        <v>6.5</v>
      </c>
      <c r="E68" s="65" t="inlineStr">
        <is>
          <t>מעיין נציגויות</t>
        </is>
      </c>
      <c r="F68" s="66" t="n">
        <v>0.25</v>
      </c>
      <c r="G68" s="67" t="n">
        <v>0.5357142857142857</v>
      </c>
      <c r="H68" s="67" t="n">
        <v>0.2857142857142857</v>
      </c>
    </row>
    <row r="69" ht="18" customHeight="1" s="38">
      <c r="A69" s="58" t="inlineStr">
        <is>
          <t>סונול</t>
        </is>
      </c>
      <c r="B69" s="58" t="inlineStr">
        <is>
          <t>גלידת חלבון שוקולד לוז</t>
        </is>
      </c>
      <c r="C69" s="59" t="n">
        <v>14</v>
      </c>
      <c r="D69" s="59" t="n">
        <v>6.5</v>
      </c>
      <c r="E69" s="60" t="inlineStr">
        <is>
          <t>מעיין נציגויות</t>
        </is>
      </c>
      <c r="F69" s="61" t="n">
        <v>0.25</v>
      </c>
      <c r="G69" s="62" t="n">
        <v>0.5357142857142857</v>
      </c>
      <c r="H69" s="62" t="n">
        <v>0.2857142857142857</v>
      </c>
    </row>
    <row r="71" ht="18" customHeight="1" s="38">
      <c r="A71" s="63" t="inlineStr">
        <is>
          <t>פוט לוקר</t>
        </is>
      </c>
      <c r="B71" s="63" t="inlineStr">
        <is>
          <t>גלידת חלבון וניל</t>
        </is>
      </c>
      <c r="C71" s="64" t="n">
        <v>15.5</v>
      </c>
      <c r="D71" s="64" t="n">
        <v>6.5</v>
      </c>
      <c r="E71" s="65" t="inlineStr">
        <is>
          <t>אייסדרים</t>
        </is>
      </c>
      <c r="F71" s="66" t="n">
        <v>0.15</v>
      </c>
      <c r="G71" s="67" t="n">
        <v>0.5806451612903226</v>
      </c>
      <c r="H71" s="67" t="n">
        <v>0.4306451612903226</v>
      </c>
    </row>
    <row r="72" ht="18" customHeight="1" s="38">
      <c r="A72" s="58" t="inlineStr">
        <is>
          <t>פוט לוקר</t>
        </is>
      </c>
      <c r="B72" s="58" t="inlineStr">
        <is>
          <t>גלידת חלבון מנגו</t>
        </is>
      </c>
      <c r="C72" s="59" t="n">
        <v>15.5</v>
      </c>
      <c r="D72" s="59" t="n">
        <v>6.5</v>
      </c>
      <c r="E72" s="60" t="inlineStr">
        <is>
          <t>אייסדרים</t>
        </is>
      </c>
      <c r="F72" s="61" t="n">
        <v>0.15</v>
      </c>
      <c r="G72" s="62" t="n">
        <v>0.5806451612903226</v>
      </c>
      <c r="H72" s="62" t="n">
        <v>0.4306451612903226</v>
      </c>
    </row>
    <row r="73" ht="18" customHeight="1" s="38">
      <c r="A73" s="68" t="inlineStr">
        <is>
          <t>פוט לוקר</t>
        </is>
      </c>
      <c r="B73" s="68" t="inlineStr">
        <is>
          <t>גלידת חלבון פיסטוק</t>
        </is>
      </c>
      <c r="C73" s="69" t="n">
        <v>15.5</v>
      </c>
      <c r="D73" s="69" t="n">
        <v>6.5</v>
      </c>
      <c r="E73" s="70" t="inlineStr">
        <is>
          <t>אייסדרים</t>
        </is>
      </c>
      <c r="F73" s="71" t="n">
        <v>0.15</v>
      </c>
      <c r="G73" s="72" t="n">
        <v>0.5806451612903226</v>
      </c>
      <c r="H73" s="72" t="n">
        <v>0.4306451612903226</v>
      </c>
    </row>
    <row r="74" ht="18" customHeight="1" s="38">
      <c r="A74" s="58" t="inlineStr">
        <is>
          <t>פוט לוקר</t>
        </is>
      </c>
      <c r="B74" s="58" t="inlineStr">
        <is>
          <t>גלידת חלבון שוקולד לוז</t>
        </is>
      </c>
      <c r="C74" s="59" t="n">
        <v>15.5</v>
      </c>
      <c r="D74" s="59" t="n">
        <v>6.5</v>
      </c>
      <c r="E74" s="60" t="inlineStr">
        <is>
          <t>אייסדרים</t>
        </is>
      </c>
      <c r="F74" s="61" t="n">
        <v>0.15</v>
      </c>
      <c r="G74" s="62" t="n">
        <v>0.5806451612903226</v>
      </c>
      <c r="H74" s="62" t="n">
        <v>0.4306451612903226</v>
      </c>
    </row>
    <row r="76" ht="18" customHeight="1" s="38">
      <c r="A76" s="63" t="inlineStr">
        <is>
          <t>פז יילו</t>
        </is>
      </c>
      <c r="B76" s="63" t="inlineStr">
        <is>
          <t>גלידת חלבון וניל</t>
        </is>
      </c>
      <c r="C76" s="64" t="n">
        <v>11</v>
      </c>
      <c r="D76" s="64" t="n">
        <v>6.5</v>
      </c>
      <c r="E76" s="65" t="inlineStr">
        <is>
          <t>מעיין נציגויות</t>
        </is>
      </c>
      <c r="F76" s="66" t="n">
        <v>0.25</v>
      </c>
      <c r="G76" s="67" t="n">
        <v>0.4090909090909091</v>
      </c>
      <c r="H76" s="67" t="n">
        <v>0.1590909090909091</v>
      </c>
    </row>
    <row r="77" ht="18" customHeight="1" s="38">
      <c r="A77" s="58" t="inlineStr">
        <is>
          <t>פז יילו</t>
        </is>
      </c>
      <c r="B77" s="58" t="inlineStr">
        <is>
          <t>גלידת חלבון מנגו</t>
        </is>
      </c>
      <c r="C77" s="59" t="n">
        <v>11</v>
      </c>
      <c r="D77" s="59" t="n">
        <v>6.5</v>
      </c>
      <c r="E77" s="60" t="inlineStr">
        <is>
          <t>מעיין נציגויות</t>
        </is>
      </c>
      <c r="F77" s="61" t="n">
        <v>0.25</v>
      </c>
      <c r="G77" s="62" t="n">
        <v>0.4090909090909091</v>
      </c>
      <c r="H77" s="62" t="n">
        <v>0.1590909090909091</v>
      </c>
    </row>
    <row r="78" ht="18" customHeight="1" s="38">
      <c r="A78" s="63" t="inlineStr">
        <is>
          <t>פז יילו</t>
        </is>
      </c>
      <c r="B78" s="63" t="inlineStr">
        <is>
          <t>גלידת חלבון שוקולד לוז</t>
        </is>
      </c>
      <c r="C78" s="64" t="n">
        <v>11</v>
      </c>
      <c r="D78" s="64" t="n">
        <v>6.5</v>
      </c>
      <c r="E78" s="65" t="inlineStr">
        <is>
          <t>מעיין נציגויות</t>
        </is>
      </c>
      <c r="F78" s="66" t="n">
        <v>0.25</v>
      </c>
      <c r="G78" s="67" t="n">
        <v>0.4090909090909091</v>
      </c>
      <c r="H78" s="67" t="n">
        <v>0.1590909090909091</v>
      </c>
    </row>
    <row r="80" ht="18" customHeight="1" s="38">
      <c r="A80" s="58" t="inlineStr">
        <is>
          <t>פז סופר יודה</t>
        </is>
      </c>
      <c r="B80" s="58" t="inlineStr">
        <is>
          <t>גלידת חלבון וניל</t>
        </is>
      </c>
      <c r="C80" s="59" t="n">
        <v>11</v>
      </c>
      <c r="D80" s="59" t="n">
        <v>6.5</v>
      </c>
      <c r="E80" s="60" t="inlineStr">
        <is>
          <t>מעיין נציגויות</t>
        </is>
      </c>
      <c r="F80" s="61" t="n">
        <v>0.25</v>
      </c>
      <c r="G80" s="62" t="n">
        <v>0.4090909090909091</v>
      </c>
      <c r="H80" s="62" t="n">
        <v>0.1590909090909091</v>
      </c>
    </row>
    <row r="81" ht="18" customHeight="1" s="38">
      <c r="A81" s="63" t="inlineStr">
        <is>
          <t>פז סופר יודה</t>
        </is>
      </c>
      <c r="B81" s="63" t="inlineStr">
        <is>
          <t>גלידת חלבון מנגו</t>
        </is>
      </c>
      <c r="C81" s="64" t="n">
        <v>11</v>
      </c>
      <c r="D81" s="64" t="n">
        <v>6.5</v>
      </c>
      <c r="E81" s="65" t="inlineStr">
        <is>
          <t>מעיין נציגויות</t>
        </is>
      </c>
      <c r="F81" s="66" t="n">
        <v>0.25</v>
      </c>
      <c r="G81" s="67" t="n">
        <v>0.4090909090909091</v>
      </c>
      <c r="H81" s="67" t="n">
        <v>0.1590909090909091</v>
      </c>
    </row>
    <row r="82" ht="18" customHeight="1" s="38">
      <c r="A82" s="58" t="inlineStr">
        <is>
          <t>פז סופר יודה</t>
        </is>
      </c>
      <c r="B82" s="58" t="inlineStr">
        <is>
          <t>גלידת חלבון שוקולד לוז</t>
        </is>
      </c>
      <c r="C82" s="59" t="n">
        <v>11</v>
      </c>
      <c r="D82" s="59" t="n">
        <v>6.5</v>
      </c>
      <c r="E82" s="60" t="inlineStr">
        <is>
          <t>מעיין נציגויות</t>
        </is>
      </c>
      <c r="F82" s="61" t="n">
        <v>0.25</v>
      </c>
      <c r="G82" s="62" t="n">
        <v>0.4090909090909091</v>
      </c>
      <c r="H82" s="62" t="n">
        <v>0.1590909090909091</v>
      </c>
    </row>
    <row r="84" ht="18" customHeight="1" s="38">
      <c r="A84" s="63" t="inlineStr">
        <is>
          <t>שוק פרטי</t>
        </is>
      </c>
      <c r="B84" s="63" t="inlineStr">
        <is>
          <t>גלידת חלבון וניל</t>
        </is>
      </c>
      <c r="C84" s="64" t="n">
        <v>14.1</v>
      </c>
      <c r="D84" s="64" t="n">
        <v>6.5</v>
      </c>
      <c r="E84" s="65" t="inlineStr">
        <is>
          <t>מעיין נציגויות</t>
        </is>
      </c>
      <c r="F84" s="66" t="n">
        <v>0.25</v>
      </c>
      <c r="G84" s="67" t="n">
        <v>0.5390070921985816</v>
      </c>
      <c r="H84" s="67" t="n">
        <v>0.2890070921985816</v>
      </c>
    </row>
    <row r="85" ht="18" customHeight="1" s="38">
      <c r="A85" s="112" t="inlineStr">
        <is>
          <t>שוק פרטי</t>
        </is>
      </c>
      <c r="B85" s="112" t="inlineStr">
        <is>
          <t>גלידת חלבון מנגו</t>
        </is>
      </c>
      <c r="C85" s="113" t="n">
        <v>14.1</v>
      </c>
      <c r="D85" s="113" t="n">
        <v>6.5</v>
      </c>
      <c r="E85" s="114" t="inlineStr">
        <is>
          <t>מעיין נציגויות</t>
        </is>
      </c>
      <c r="F85" s="115" t="n">
        <v>0.25</v>
      </c>
      <c r="G85" s="116" t="n">
        <v>0.5390070921985816</v>
      </c>
      <c r="H85" s="116" t="n">
        <v>0.2890070921985816</v>
      </c>
    </row>
    <row r="86" ht="18" customHeight="1" s="38">
      <c r="A86" s="68" t="inlineStr">
        <is>
          <t>שוק פרטי</t>
        </is>
      </c>
      <c r="B86" s="68" t="inlineStr">
        <is>
          <t>גלידת חלבון פיסטוק</t>
        </is>
      </c>
      <c r="C86" s="117" t="n">
        <v>14.1</v>
      </c>
      <c r="D86" s="117" t="n">
        <v>6.5</v>
      </c>
      <c r="E86" s="118" t="inlineStr">
        <is>
          <t>מעיין נציגויות</t>
        </is>
      </c>
      <c r="F86" s="119" t="n">
        <v>0.25</v>
      </c>
      <c r="G86" s="120" t="n">
        <v>0.5390070921985816</v>
      </c>
      <c r="H86" s="120" t="n">
        <v>0.2890070921985816</v>
      </c>
    </row>
    <row r="87" ht="18" customHeight="1" s="38">
      <c r="A87" s="63" t="inlineStr">
        <is>
          <t>שוק פרטי</t>
        </is>
      </c>
      <c r="B87" s="63" t="inlineStr">
        <is>
          <t>גלידת חלבון שוקולד לוז</t>
        </is>
      </c>
      <c r="C87" s="121" t="n">
        <v>14.1</v>
      </c>
      <c r="D87" s="121" t="n">
        <v>6.5</v>
      </c>
      <c r="E87" s="122" t="inlineStr">
        <is>
          <t>מעיין נציגויות</t>
        </is>
      </c>
      <c r="F87" s="123" t="n">
        <v>0.25</v>
      </c>
      <c r="G87" s="124" t="n">
        <v>0.5390070921985816</v>
      </c>
      <c r="H87" s="124" t="n">
        <v>0.2890070921985816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38" min="1" max="1"/>
    <col width="12" customWidth="1" style="38" min="2" max="2"/>
    <col width="10" customWidth="1" style="38" min="3" max="3"/>
    <col width="10" customWidth="1" style="38" min="4" max="4"/>
    <col width="10" customWidth="1" style="38" min="5" max="5"/>
    <col width="10" customWidth="1" style="38" min="6" max="6"/>
    <col width="12" customWidth="1" style="38" min="7" max="7"/>
    <col width="11" customWidth="1" style="38" min="8" max="8"/>
  </cols>
  <sheetData>
    <row r="1" ht="28" customHeight="1" s="38">
      <c r="A1" s="92" t="inlineStr">
        <is>
          <t>Product Mix by Customer  |  Units (Dec 2025 – Feb 2026 MTD)</t>
        </is>
      </c>
    </row>
    <row r="2" ht="16" customHeight="1" s="38">
      <c r="A2" s="93" t="inlineStr">
        <is>
          <t>Source: אייסדרים — invoice data  |  מעיין — unit data  |  אלונית/טיב טעם separated from chain totals  |  ▨ = no data</t>
        </is>
      </c>
    </row>
    <row r="3" ht="20" customHeight="1" s="38">
      <c r="A3" s="57" t="inlineStr">
        <is>
          <t>Customer</t>
        </is>
      </c>
      <c r="B3" s="57" t="inlineStr">
        <is>
          <t>Distributor</t>
        </is>
      </c>
      <c r="C3" s="57" t="inlineStr">
        <is>
          <t>שוקולד</t>
        </is>
      </c>
      <c r="D3" s="57" t="inlineStr">
        <is>
          <t>וניל</t>
        </is>
      </c>
      <c r="E3" s="57" t="inlineStr">
        <is>
          <t>מנגו</t>
        </is>
      </c>
      <c r="F3" s="57" t="inlineStr">
        <is>
          <t>פיסטוק</t>
        </is>
      </c>
      <c r="G3" s="57" t="inlineStr">
        <is>
          <t>Dream Cake</t>
        </is>
      </c>
      <c r="H3" s="57" t="inlineStr">
        <is>
          <t>Total Units</t>
        </is>
      </c>
    </row>
    <row r="4" ht="18" customHeight="1" s="38">
      <c r="A4" s="94" t="inlineStr">
        <is>
          <t>AMPM</t>
        </is>
      </c>
      <c r="B4" s="94" t="inlineStr">
        <is>
          <t>מעיין</t>
        </is>
      </c>
      <c r="C4" s="95" t="n">
        <v>11782</v>
      </c>
      <c r="D4" s="95" t="n">
        <v>11118</v>
      </c>
      <c r="E4" s="95" t="n">
        <v>6992</v>
      </c>
      <c r="F4" s="96" t="n">
        <v>4580</v>
      </c>
      <c r="G4" s="97" t="n"/>
      <c r="H4" s="98" t="n">
        <v>34472</v>
      </c>
    </row>
    <row r="5" ht="18" customHeight="1" s="38">
      <c r="A5" s="102" t="inlineStr">
        <is>
          <t>אלונית</t>
        </is>
      </c>
      <c r="B5" s="102" t="inlineStr">
        <is>
          <t>מעיין</t>
        </is>
      </c>
      <c r="C5" s="103" t="n">
        <v>1725</v>
      </c>
      <c r="D5" s="103" t="n">
        <v>1581</v>
      </c>
      <c r="E5" s="103" t="n">
        <v>1150</v>
      </c>
      <c r="F5" s="104" t="n">
        <v>160</v>
      </c>
      <c r="G5" s="104" t="n"/>
      <c r="H5" s="105" t="n">
        <v>4616</v>
      </c>
    </row>
    <row r="6" ht="18" customHeight="1" s="38">
      <c r="A6" s="94" t="inlineStr">
        <is>
          <t>גוד פארם</t>
        </is>
      </c>
      <c r="B6" s="94" t="inlineStr">
        <is>
          <t>אייסדרים</t>
        </is>
      </c>
      <c r="C6" s="95" t="n">
        <v>420</v>
      </c>
      <c r="D6" s="95" t="n">
        <v>414</v>
      </c>
      <c r="E6" s="95" t="n">
        <v>294</v>
      </c>
      <c r="F6" s="96" t="n"/>
      <c r="G6" s="97" t="n"/>
      <c r="H6" s="98" t="n">
        <v>1128</v>
      </c>
    </row>
    <row r="7" ht="18" customHeight="1" s="38">
      <c r="A7" s="102" t="inlineStr">
        <is>
          <t>דלק</t>
        </is>
      </c>
      <c r="B7" s="102" t="inlineStr">
        <is>
          <t>מעיין</t>
        </is>
      </c>
      <c r="C7" s="103" t="n">
        <v>1829</v>
      </c>
      <c r="D7" s="103" t="n">
        <v>1706</v>
      </c>
      <c r="E7" s="103" t="n">
        <v>1278</v>
      </c>
      <c r="F7" s="104" t="n"/>
      <c r="G7" s="104" t="n"/>
      <c r="H7" s="105" t="n">
        <v>4813</v>
      </c>
    </row>
    <row r="8" ht="18" customHeight="1" s="38">
      <c r="A8" s="94" t="inlineStr">
        <is>
          <t>דומינוס</t>
        </is>
      </c>
      <c r="B8" s="94" t="inlineStr">
        <is>
          <t>אייסדרים</t>
        </is>
      </c>
      <c r="C8" s="95" t="n">
        <v>1980</v>
      </c>
      <c r="D8" s="95" t="n">
        <v>1890</v>
      </c>
      <c r="E8" s="95" t="n">
        <v>1776</v>
      </c>
      <c r="F8" s="97" t="n"/>
      <c r="G8" s="97" t="n"/>
      <c r="H8" s="98" t="n">
        <v>5646</v>
      </c>
    </row>
    <row r="9" ht="18" customHeight="1" s="38">
      <c r="A9" s="102" t="inlineStr">
        <is>
          <t>וולט מרקט</t>
        </is>
      </c>
      <c r="B9" s="102" t="inlineStr">
        <is>
          <t>אייסדרים</t>
        </is>
      </c>
      <c r="C9" s="103" t="n">
        <v>7088</v>
      </c>
      <c r="D9" s="103" t="n">
        <v>6823</v>
      </c>
      <c r="E9" s="103" t="n">
        <v>3930</v>
      </c>
      <c r="F9" s="96" t="n">
        <v>3371</v>
      </c>
      <c r="G9" s="106" t="n">
        <v>14983</v>
      </c>
      <c r="H9" s="105" t="n">
        <v>36195</v>
      </c>
    </row>
    <row r="10" ht="18" customHeight="1" s="38">
      <c r="A10" s="94" t="inlineStr">
        <is>
          <t>חוות נעמי</t>
        </is>
      </c>
      <c r="B10" s="94" t="inlineStr">
        <is>
          <t>אייסדרים</t>
        </is>
      </c>
      <c r="C10" s="95" t="n">
        <v>330</v>
      </c>
      <c r="D10" s="95" t="n">
        <v>378</v>
      </c>
      <c r="E10" s="95" t="n">
        <v>238</v>
      </c>
      <c r="F10" s="97" t="n">
        <v>100</v>
      </c>
      <c r="G10" s="106" t="n">
        <v>498</v>
      </c>
      <c r="H10" s="98" t="n">
        <v>1544</v>
      </c>
    </row>
    <row r="11" ht="18" customHeight="1" s="38">
      <c r="A11" s="99" t="inlineStr">
        <is>
          <t>חממה</t>
        </is>
      </c>
      <c r="B11" s="99" t="inlineStr">
        <is>
          <t>אייסדרים</t>
        </is>
      </c>
      <c r="C11" s="100" t="n"/>
      <c r="D11" s="100" t="n"/>
      <c r="E11" s="100" t="n"/>
      <c r="F11" s="100" t="n"/>
      <c r="G11" s="100" t="n"/>
      <c r="H11" s="101" t="n"/>
    </row>
    <row r="12" ht="18" customHeight="1" s="38">
      <c r="A12" s="94" t="inlineStr">
        <is>
          <t>טיב טעם</t>
        </is>
      </c>
      <c r="B12" s="94" t="inlineStr">
        <is>
          <t>מעיין</t>
        </is>
      </c>
      <c r="C12" s="95" t="n">
        <v>2255</v>
      </c>
      <c r="D12" s="95" t="n">
        <v>2156</v>
      </c>
      <c r="E12" s="95" t="n">
        <v>1463</v>
      </c>
      <c r="F12" s="97" t="n"/>
      <c r="G12" s="97" t="n"/>
      <c r="H12" s="98" t="n">
        <v>5874</v>
      </c>
    </row>
    <row r="13" ht="18" customHeight="1" s="38">
      <c r="A13" s="102" t="inlineStr">
        <is>
          <t>ינגו דלי</t>
        </is>
      </c>
      <c r="B13" s="102" t="inlineStr">
        <is>
          <t>אייסדרים</t>
        </is>
      </c>
      <c r="C13" s="103" t="n">
        <v>528</v>
      </c>
      <c r="D13" s="103" t="n">
        <v>672</v>
      </c>
      <c r="E13" s="103" t="n">
        <v>450</v>
      </c>
      <c r="F13" s="104" t="n"/>
      <c r="G13" s="106" t="n">
        <v>407</v>
      </c>
      <c r="H13" s="105" t="n">
        <v>2057</v>
      </c>
    </row>
    <row r="14" ht="18" customHeight="1" s="38">
      <c r="A14" s="94" t="inlineStr">
        <is>
          <t>כרמלה</t>
        </is>
      </c>
      <c r="B14" s="94" t="inlineStr">
        <is>
          <t>אייסדרים</t>
        </is>
      </c>
      <c r="C14" s="95" t="n">
        <v>390</v>
      </c>
      <c r="D14" s="95" t="n">
        <v>390</v>
      </c>
      <c r="E14" s="95" t="n">
        <v>240</v>
      </c>
      <c r="F14" s="97" t="n">
        <v>30</v>
      </c>
      <c r="G14" s="106" t="n">
        <v>45</v>
      </c>
      <c r="H14" s="98" t="n">
        <v>1095</v>
      </c>
    </row>
    <row r="15" ht="18" customHeight="1" s="38">
      <c r="A15" s="102" t="inlineStr">
        <is>
          <t>נוי השדה</t>
        </is>
      </c>
      <c r="B15" s="102" t="inlineStr">
        <is>
          <t>אייסדרים</t>
        </is>
      </c>
      <c r="C15" s="103" t="n">
        <v>702</v>
      </c>
      <c r="D15" s="103" t="n">
        <v>708</v>
      </c>
      <c r="E15" s="103" t="n">
        <v>564</v>
      </c>
      <c r="F15" s="104" t="n"/>
      <c r="G15" s="104" t="n"/>
      <c r="H15" s="105" t="n">
        <v>1974</v>
      </c>
    </row>
    <row r="16" ht="18" customHeight="1" s="38">
      <c r="A16" s="94" t="inlineStr">
        <is>
          <t>סונול</t>
        </is>
      </c>
      <c r="B16" s="94" t="inlineStr">
        <is>
          <t>מעיין</t>
        </is>
      </c>
      <c r="C16" s="95" t="n">
        <v>620</v>
      </c>
      <c r="D16" s="95" t="n">
        <v>646</v>
      </c>
      <c r="E16" s="95" t="n">
        <v>360</v>
      </c>
      <c r="F16" s="97" t="n"/>
      <c r="G16" s="97" t="n"/>
      <c r="H16" s="98" t="n">
        <v>1626</v>
      </c>
    </row>
    <row r="17" ht="18" customHeight="1" s="38">
      <c r="A17" s="102" t="inlineStr">
        <is>
          <t>עוגיפלצת</t>
        </is>
      </c>
      <c r="B17" s="102" t="inlineStr">
        <is>
          <t>אייסדרים</t>
        </is>
      </c>
      <c r="C17" s="103" t="n">
        <v>630</v>
      </c>
      <c r="D17" s="103" t="n">
        <v>492</v>
      </c>
      <c r="E17" s="103" t="n">
        <v>320</v>
      </c>
      <c r="F17" s="104" t="n">
        <v>140</v>
      </c>
      <c r="G17" s="104" t="n"/>
      <c r="H17" s="105" t="n">
        <v>1582</v>
      </c>
    </row>
    <row r="18" ht="18" customHeight="1" s="38">
      <c r="A18" s="99" t="inlineStr">
        <is>
          <t>פוט לוקר</t>
        </is>
      </c>
      <c r="B18" s="99" t="inlineStr">
        <is>
          <t>אייסדרים</t>
        </is>
      </c>
      <c r="C18" s="100" t="n"/>
      <c r="D18" s="100" t="n"/>
      <c r="E18" s="100" t="n"/>
      <c r="F18" s="100" t="n"/>
      <c r="G18" s="100" t="n"/>
      <c r="H18" s="101" t="n"/>
    </row>
    <row r="19" ht="18" customHeight="1" s="38">
      <c r="A19" s="102" t="inlineStr">
        <is>
          <t>פז יילו</t>
        </is>
      </c>
      <c r="B19" s="102" t="inlineStr">
        <is>
          <t>מעיין</t>
        </is>
      </c>
      <c r="C19" s="103" t="n">
        <v>5808</v>
      </c>
      <c r="D19" s="103" t="n">
        <v>5416</v>
      </c>
      <c r="E19" s="103" t="n">
        <v>3939</v>
      </c>
      <c r="F19" s="104" t="n"/>
      <c r="G19" s="104" t="n"/>
      <c r="H19" s="105" t="n">
        <v>15163</v>
      </c>
    </row>
    <row r="20" ht="18" customHeight="1" s="38">
      <c r="A20" s="94" t="inlineStr">
        <is>
          <t>פז סופר יודה</t>
        </is>
      </c>
      <c r="B20" s="94" t="inlineStr">
        <is>
          <t>מעיין</t>
        </is>
      </c>
      <c r="C20" s="95" t="n">
        <v>3244</v>
      </c>
      <c r="D20" s="95" t="n">
        <v>2949</v>
      </c>
      <c r="E20" s="95" t="n">
        <v>1972</v>
      </c>
      <c r="F20" s="97" t="n"/>
      <c r="G20" s="97" t="n"/>
      <c r="H20" s="98" t="n">
        <v>8165</v>
      </c>
    </row>
    <row r="21" ht="18" customHeight="1" s="38">
      <c r="A21" s="99" t="inlineStr">
        <is>
          <t>קארפור</t>
        </is>
      </c>
      <c r="B21" s="99" t="inlineStr">
        <is>
          <t>מעיין</t>
        </is>
      </c>
      <c r="C21" s="100" t="n"/>
      <c r="D21" s="100" t="n"/>
      <c r="E21" s="100" t="n"/>
      <c r="F21" s="100" t="n"/>
      <c r="G21" s="100" t="n"/>
      <c r="H21" s="101" t="n"/>
    </row>
    <row r="22" ht="18" customHeight="1" s="38">
      <c r="A22" s="94" t="inlineStr">
        <is>
          <t>שוק פרטי</t>
        </is>
      </c>
      <c r="B22" s="94" t="inlineStr">
        <is>
          <t>מעיין</t>
        </is>
      </c>
      <c r="C22" s="95" t="n">
        <v>21435</v>
      </c>
      <c r="D22" s="95" t="n">
        <v>20566</v>
      </c>
      <c r="E22" s="95" t="n">
        <v>13213</v>
      </c>
      <c r="F22" s="96" t="n">
        <v>5697</v>
      </c>
      <c r="G22" s="97" t="n"/>
      <c r="H22" s="98" t="n">
        <v>60911</v>
      </c>
    </row>
    <row r="23" ht="22" customHeight="1" s="38">
      <c r="A23" s="110" t="inlineStr">
        <is>
          <t>TOTAL</t>
        </is>
      </c>
      <c r="B23" s="110" t="n"/>
      <c r="C23" s="111" t="n">
        <v>60766</v>
      </c>
      <c r="D23" s="111" t="n">
        <v>57905</v>
      </c>
      <c r="E23" s="111" t="n">
        <v>38179</v>
      </c>
      <c r="F23" s="111" t="n">
        <v>14078</v>
      </c>
      <c r="G23" s="111" t="n">
        <v>15933</v>
      </c>
      <c r="H23" s="111" t="n">
        <v>186861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37" min="1" max="1"/>
    <col width="26" customWidth="1" style="37" min="2" max="2"/>
  </cols>
  <sheetData>
    <row r="1" ht="30" customHeight="1" s="38">
      <c r="A1" s="39" t="inlineStr">
        <is>
          <t>Portfolio Summary</t>
        </is>
      </c>
    </row>
    <row r="2"/>
    <row r="3" ht="21.75" customHeight="1" s="38">
      <c r="A3" s="88" t="inlineStr">
        <is>
          <t>Total Customers</t>
        </is>
      </c>
      <c r="B3" s="89" t="n">
        <v>19</v>
      </c>
    </row>
    <row r="4" ht="21.75" customHeight="1" s="38">
      <c r="A4" s="88" t="inlineStr">
        <is>
          <t>מעיין נציגויות (25% dist)</t>
        </is>
      </c>
      <c r="B4" s="89" t="n">
        <v>9</v>
      </c>
    </row>
    <row r="5" ht="21.75" customHeight="1" s="38">
      <c r="A5" s="88" t="inlineStr">
        <is>
          <t>אייסדרים (15% dist)</t>
        </is>
      </c>
      <c r="B5" s="89" t="n">
        <v>10</v>
      </c>
    </row>
    <row r="6" ht="21.75" customHeight="1" s="38">
      <c r="A6" s="88" t="inlineStr">
        <is>
          <t>Avg Gross Margin</t>
        </is>
      </c>
      <c r="B6" s="90" t="inlineStr">
        <is>
          <t>47.4%</t>
        </is>
      </c>
    </row>
    <row r="7" ht="21.75" customHeight="1" s="38">
      <c r="A7" s="88" t="inlineStr">
        <is>
          <t>Avg Operating Margin</t>
        </is>
      </c>
      <c r="B7" s="90" t="inlineStr">
        <is>
          <t>27.4%</t>
        </is>
      </c>
    </row>
    <row r="8" ht="21.75" customHeight="1" s="38">
      <c r="A8" s="88" t="inlineStr">
        <is>
          <t>Total Dec 2025 Revenue (₪)</t>
        </is>
      </c>
      <c r="B8" s="90" t="n">
        <v>1625781</v>
      </c>
    </row>
    <row r="9" ht="21.75" customHeight="1" s="38">
      <c r="A9" s="88" t="inlineStr">
        <is>
          <t>Total Jan 2026 Revenue (₪)</t>
        </is>
      </c>
      <c r="B9" s="90" t="n">
        <v>1128346</v>
      </c>
    </row>
    <row r="10" ht="21.75" customHeight="1" s="38">
      <c r="A10" s="88" t="inlineStr">
        <is>
          <t>Total Feb 2026 Revenue (₪, Complete)</t>
        </is>
      </c>
      <c r="B10" s="90" t="n">
        <v>1063273</v>
      </c>
    </row>
    <row r="11" ht="21.75" customHeight="1" s="38">
      <c r="A11" s="88" t="inlineStr">
        <is>
          <t>Best Gross Margin Customer</t>
        </is>
      </c>
      <c r="B11" s="91" t="inlineStr">
        <is>
          <t>פוט לוקר (58.1%)</t>
        </is>
      </c>
    </row>
    <row r="12" ht="21.75" customHeight="1" s="38">
      <c r="A12" s="88" t="inlineStr">
        <is>
          <t>Best Operating Margin Customer</t>
        </is>
      </c>
      <c r="B12" s="91" t="inlineStr">
        <is>
          <t>פוט לוקר (43.1%)</t>
        </is>
      </c>
    </row>
    <row r="13"/>
    <row r="14"/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2026-03-02T09:35:55Z</dcterms:created>
  <dcterms:modified xmlns:dcterms="http://purl.org/dc/terms/" xmlns:xsi="http://www.w3.org/2001/XMLSchema-instance" xsi:type="dcterms:W3CDTF">2026-03-04T17:25:42Z</dcterms:modified>
  <cp:revision>0</cp:revision>
</cp:coreProperties>
</file>