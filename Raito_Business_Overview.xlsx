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tailed Sales" sheetId="2" state="visible" r:id="rId4"/>
    <sheet name="Icedream Customers" sheetId="3" state="visible" r:id="rId5"/>
    <sheet name="Ma'ayan Chains" sheetId="4" state="visible" r:id="rId6"/>
    <sheet name="Inventory" sheetId="5" state="visible" r:id="rId7"/>
    <sheet name="Top Custom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<sst xmlns="http://schemas.openxmlformats.org/spreadsheetml/2006/main" count="244" uniqueCount="98">
  <si>
    <t xml:space="preserve">Raito Business Overview</t>
  </si>
  <si>
    <t xml:space="preserve">Generated: 04/03/2026 16:54</t>
  </si>
  <si>
    <t xml:space="preserve">Monthly Sales Summary</t>
  </si>
  <si>
    <t xml:space="preserve">Month</t>
  </si>
  <si>
    <t xml:space="preserve">Total Units</t>
  </si>
  <si>
    <t xml:space="preserve">Total Revenue (₪)</t>
  </si>
  <si>
    <t xml:space="preserve">Ma'ayan Units</t>
  </si>
  <si>
    <t xml:space="preserve">Icedream Units</t>
  </si>
  <si>
    <t xml:space="preserve">Ma'ayan %</t>
  </si>
  <si>
    <t xml:space="preserve">Icedream %</t>
  </si>
  <si>
    <t xml:space="preserve">Dec '25</t>
  </si>
  <si>
    <t xml:space="preserve">Jan '26</t>
  </si>
  <si>
    <t xml:space="preserve">Feb '26</t>
  </si>
  <si>
    <t xml:space="preserve">Total</t>
  </si>
  <si>
    <t xml:space="preserve">Detailed Sales by Product &amp; Month</t>
  </si>
  <si>
    <t xml:space="preserve">Product</t>
  </si>
  <si>
    <t xml:space="preserve">Ma'ayan (units)</t>
  </si>
  <si>
    <t xml:space="preserve">Icedream (units)</t>
  </si>
  <si>
    <t xml:space="preserve">Revenue (₪)</t>
  </si>
  <si>
    <t xml:space="preserve">Turbo Chocolate</t>
  </si>
  <si>
    <t xml:space="preserve">Turbo Vanilla</t>
  </si>
  <si>
    <t xml:space="preserve">Turbo Mango</t>
  </si>
  <si>
    <t xml:space="preserve">Dani's Dream Cake</t>
  </si>
  <si>
    <t xml:space="preserve">Turbo Magadat</t>
  </si>
  <si>
    <t xml:space="preserve">Turbo Pistachio</t>
  </si>
  <si>
    <t xml:space="preserve">Icedream Customers - By Product</t>
  </si>
  <si>
    <t xml:space="preserve">Customer</t>
  </si>
  <si>
    <t xml:space="preserve">Chocolate (units)</t>
  </si>
  <si>
    <t xml:space="preserve">Vanilla (units)</t>
  </si>
  <si>
    <t xml:space="preserve">Mango (units)</t>
  </si>
  <si>
    <t xml:space="preserve">Pistachio (units)</t>
  </si>
  <si>
    <t xml:space="preserve">Magadat (units)</t>
  </si>
  <si>
    <t xml:space="preserve">Dream Cake (units)</t>
  </si>
  <si>
    <t xml:space="preserve">Chocolate (₪)</t>
  </si>
  <si>
    <t xml:space="preserve">Vanilla (₪)</t>
  </si>
  <si>
    <t xml:space="preserve">Mango (₪)</t>
  </si>
  <si>
    <t xml:space="preserve">Pistachio (₪)</t>
  </si>
  <si>
    <t xml:space="preserve">Magadat (₪)</t>
  </si>
  <si>
    <t xml:space="preserve">Dream Cake (₪)</t>
  </si>
  <si>
    <t xml:space="preserve">Total ₪</t>
  </si>
  <si>
    <t xml:space="preserve">וולט מרקט</t>
  </si>
  <si>
    <t xml:space="preserve">ינגו</t>
  </si>
  <si>
    <t xml:space="preserve">כרמלה</t>
  </si>
  <si>
    <t xml:space="preserve">נוי השדה</t>
  </si>
  <si>
    <t xml:space="preserve">חוות נעמי</t>
  </si>
  <si>
    <t xml:space="preserve">דומינוס</t>
  </si>
  <si>
    <t xml:space="preserve">גוד פארם</t>
  </si>
  <si>
    <t xml:space="preserve">עוגיפלצת</t>
  </si>
  <si>
    <t xml:space="preserve">Ma'ayan Chains - By Product</t>
  </si>
  <si>
    <t xml:space="preserve">Chain</t>
  </si>
  <si>
    <t xml:space="preserve">שוק פרטי</t>
  </si>
  <si>
    <t xml:space="preserve">AMPM</t>
  </si>
  <si>
    <t xml:space="preserve">פז חברת נפט- סופר יודה</t>
  </si>
  <si>
    <t xml:space="preserve">טיב טעם</t>
  </si>
  <si>
    <t xml:space="preserve">פז ילו</t>
  </si>
  <si>
    <t xml:space="preserve">דלק מנטה</t>
  </si>
  <si>
    <t xml:space="preserve">אלונית</t>
  </si>
  <si>
    <t xml:space="preserve">סונול</t>
  </si>
  <si>
    <t xml:space="preserve">דור אלון</t>
  </si>
  <si>
    <t xml:space="preserve">Total Available Stock — All Locations</t>
  </si>
  <si>
    <t xml:space="preserve">Karfree (units)</t>
  </si>
  <si>
    <t xml:space="preserve">Karfree (pallets)</t>
  </si>
  <si>
    <t xml:space="preserve">Icedream (pallets)</t>
  </si>
  <si>
    <t xml:space="preserve">Ma'ayan (pallets)</t>
  </si>
  <si>
    <t xml:space="preserve">Total Pallets</t>
  </si>
  <si>
    <t xml:space="preserve">-</t>
  </si>
  <si>
    <t xml:space="preserve">Karfree Warehouse — Production Planning</t>
  </si>
  <si>
    <t xml:space="preserve">Report date: 04/03/2026</t>
  </si>
  <si>
    <t xml:space="preserve">Units in Stock</t>
  </si>
  <si>
    <t xml:space="preserve">Pallets</t>
  </si>
  <si>
    <t xml:space="preserve">Share</t>
  </si>
  <si>
    <t xml:space="preserve">Earliest Expiry</t>
  </si>
  <si>
    <t xml:space="preserve">Latest Expiry</t>
  </si>
  <si>
    <t xml:space="preserve">Avg Sales/Mo</t>
  </si>
  <si>
    <t xml:space="preserve">Last Month Sales</t>
  </si>
  <si>
    <t xml:space="preserve">Months of Stock</t>
  </si>
  <si>
    <t xml:space="preserve">Status</t>
  </si>
  <si>
    <t xml:space="preserve">Suggested Prod.</t>
  </si>
  <si>
    <t xml:space="preserve">Pallets Needed</t>
  </si>
  <si>
    <t xml:space="preserve">01/12/2026</t>
  </si>
  <si>
    <t xml:space="preserve">18/12/2026</t>
  </si>
  <si>
    <t xml:space="preserve">Low</t>
  </si>
  <si>
    <t xml:space="preserve">01/02/2027</t>
  </si>
  <si>
    <t xml:space="preserve">17/12/2026</t>
  </si>
  <si>
    <t xml:space="preserve">✓</t>
  </si>
  <si>
    <t xml:space="preserve">24/12/2026</t>
  </si>
  <si>
    <t xml:space="preserve">OK</t>
  </si>
  <si>
    <t xml:space="preserve">Top Customers (All Months, by Units)</t>
  </si>
  <si>
    <t xml:space="preserve">Rank</t>
  </si>
  <si>
    <t xml:space="preserve">Ma'ayan: שוק פרטי</t>
  </si>
  <si>
    <t xml:space="preserve">Ma'ayan: AMPM</t>
  </si>
  <si>
    <t xml:space="preserve">Ma'ayan: פז ילו</t>
  </si>
  <si>
    <t xml:space="preserve">Ma'ayan: פז חברת נפט- סופר יודה</t>
  </si>
  <si>
    <t xml:space="preserve">Ma'ayan: טיב טעם</t>
  </si>
  <si>
    <t xml:space="preserve">Ma'ayan: דלק מנטה</t>
  </si>
  <si>
    <t xml:space="preserve">Ma'ayan: אלונית</t>
  </si>
  <si>
    <t xml:space="preserve">Ma'ayan: סונול</t>
  </si>
  <si>
    <t xml:space="preserve">Ma'ayan: דור אלון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</si>
</sst>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₪#,##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2"/>
      <color rgb="FF2563E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1E3A5F"/>
      </patternFill>
    </fill>
    <fill>
      <patternFill patternType="solid">
        <fgColor rgb="FFF0F0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66"/>
      <rgbColor rgb="FF999999"/>
      <rgbColor rgb="FF1E3A5F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7" min="6" style="0" width="13"/>
  </cols>
  <sheetData>
    <row r="1" customFormat="false" ht="17.35" hidden="false" customHeight="false" outlineLevel="0" collapsed="false">
      <c r="A1" s="1" t="s">
        <v>0</v>
      </c>
      <c r="C1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5" hidden="false" customHeight="false" outlineLevel="0" collapsed="false">
      <c r="A5" s="5" t="s">
        <v>10</v>
      </c>
      <c r="B5" s="6" t="n">
        <v>83753</v>
      </c>
      <c r="C5" s="7" t="n">
        <v>1559374.12</v>
      </c>
      <c r="D5" s="6" t="n">
        <v>61739</v>
      </c>
      <c r="E5" s="6" t="n">
        <v>22014</v>
      </c>
      <c r="F5" s="8" t="n">
        <v>0.737155683975499</v>
      </c>
      <c r="G5" s="8" t="n">
        <v>0.262844316024501</v>
      </c>
    </row>
    <row r="6" customFormat="false" ht="15" hidden="false" customHeight="false" outlineLevel="0" collapsed="false">
      <c r="A6" s="5" t="s">
        <v>11</v>
      </c>
      <c r="B6" s="6" t="n">
        <v>51131</v>
      </c>
      <c r="C6" s="7" t="n">
        <v>1092104.82</v>
      </c>
      <c r="D6" s="6" t="n">
        <v>30353</v>
      </c>
      <c r="E6" s="6" t="n">
        <v>20778</v>
      </c>
      <c r="F6" s="8" t="n">
        <v>0.593632043183196</v>
      </c>
      <c r="G6" s="8" t="n">
        <v>0.406367956816804</v>
      </c>
    </row>
    <row r="7" customFormat="false" ht="15" hidden="false" customHeight="false" outlineLevel="0" collapsed="false">
      <c r="A7" s="5" t="s">
        <v>12</v>
      </c>
      <c r="B7" s="6" t="n">
        <v>58331</v>
      </c>
      <c r="C7" s="7" t="n">
        <v>1084380.56</v>
      </c>
      <c r="D7" s="6" t="n">
        <v>43777</v>
      </c>
      <c r="E7" s="6" t="n">
        <v>14554</v>
      </c>
      <c r="F7" s="8" t="n">
        <v>0.750492876857931</v>
      </c>
      <c r="G7" s="8" t="n">
        <v>0.249507123142069</v>
      </c>
    </row>
    <row r="8" customFormat="false" ht="15" hidden="false" customHeight="false" outlineLevel="0" collapsed="false">
      <c r="A8" s="9" t="s">
        <v>13</v>
      </c>
      <c r="B8" s="10" t="n">
        <f aca="false">SUM(B5:B7)</f>
        <v>193215</v>
      </c>
      <c r="C8" s="11" t="n">
        <f aca="false">SUM(C5:C7)</f>
        <v>3735859.5</v>
      </c>
      <c r="D8" s="10" t="n">
        <f aca="false">SUM(D5:D7)</f>
        <v>135869</v>
      </c>
      <c r="E8" s="10" t="n">
        <f aca="false">SUM(E5:E7)</f>
        <v>57346</v>
      </c>
      <c r="F8" s="12" t="n">
        <f aca="false">IF(B8&gt;0,D8/B8,0)</f>
        <v>0.703201097223301</v>
      </c>
      <c r="G8" s="12" t="n">
        <f aca="false">IF(B8&gt;0,E8/B8,0)</f>
        <v>0.2967989027767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3" t="s">
        <v>14</v>
      </c>
    </row>
    <row r="2" customFormat="false" ht="15" hidden="false" customHeight="false" outlineLevel="0" collapsed="false">
      <c r="A2" s="4" t="s">
        <v>3</v>
      </c>
      <c r="B2" s="4" t="s">
        <v>15</v>
      </c>
      <c r="C2" s="4" t="s">
        <v>16</v>
      </c>
      <c r="D2" s="4" t="s">
        <v>17</v>
      </c>
      <c r="E2" s="4" t="s">
        <v>4</v>
      </c>
      <c r="F2" s="4" t="s">
        <v>18</v>
      </c>
    </row>
    <row r="3" customFormat="false" ht="15" hidden="false" customHeight="false" outlineLevel="0" collapsed="false">
      <c r="A3" s="5" t="s">
        <v>10</v>
      </c>
      <c r="B3" s="13" t="s">
        <v>19</v>
      </c>
      <c r="C3" s="6" t="n">
        <v>23294</v>
      </c>
      <c r="D3" s="6" t="n">
        <v>5238</v>
      </c>
      <c r="E3" s="6" t="n">
        <v>28532</v>
      </c>
      <c r="F3" s="7" t="n">
        <v>393507.08</v>
      </c>
    </row>
    <row r="4" customFormat="false" ht="15" hidden="false" customHeight="false" outlineLevel="0" collapsed="false">
      <c r="A4" s="5" t="s">
        <v>10</v>
      </c>
      <c r="B4" s="13" t="s">
        <v>20</v>
      </c>
      <c r="C4" s="6" t="n">
        <v>22173</v>
      </c>
      <c r="D4" s="6" t="n">
        <v>5460</v>
      </c>
      <c r="E4" s="6" t="n">
        <v>27633</v>
      </c>
      <c r="F4" s="7" t="n">
        <v>381069.12</v>
      </c>
    </row>
    <row r="5" customFormat="false" ht="15" hidden="false" customHeight="false" outlineLevel="0" collapsed="false">
      <c r="A5" s="5" t="s">
        <v>10</v>
      </c>
      <c r="B5" s="13" t="s">
        <v>21</v>
      </c>
      <c r="C5" s="6" t="n">
        <v>16272</v>
      </c>
      <c r="D5" s="6" t="n">
        <v>3621</v>
      </c>
      <c r="E5" s="6" t="n">
        <v>19893</v>
      </c>
      <c r="F5" s="7" t="n">
        <v>274237.08</v>
      </c>
    </row>
    <row r="6" customFormat="false" ht="15" hidden="false" customHeight="false" outlineLevel="0" collapsed="false">
      <c r="A6" s="5" t="s">
        <v>10</v>
      </c>
      <c r="B6" s="13" t="s">
        <v>22</v>
      </c>
      <c r="C6" s="6" t="n">
        <v>0</v>
      </c>
      <c r="D6" s="6" t="n">
        <v>5970</v>
      </c>
      <c r="E6" s="6" t="n">
        <v>5970</v>
      </c>
      <c r="F6" s="7" t="n">
        <v>489665.6</v>
      </c>
    </row>
    <row r="7" customFormat="false" ht="15" hidden="false" customHeight="false" outlineLevel="0" collapsed="false">
      <c r="A7" s="5" t="s">
        <v>10</v>
      </c>
      <c r="B7" s="13" t="s">
        <v>23</v>
      </c>
      <c r="C7" s="6" t="n">
        <v>0</v>
      </c>
      <c r="D7" s="6" t="n">
        <v>1725</v>
      </c>
      <c r="E7" s="6" t="n">
        <v>1725</v>
      </c>
      <c r="F7" s="7" t="n">
        <v>20895.24</v>
      </c>
    </row>
    <row r="8" customFormat="false" ht="15" hidden="false" customHeight="false" outlineLevel="0" collapsed="false">
      <c r="A8" s="5" t="s">
        <v>11</v>
      </c>
      <c r="B8" s="13" t="s">
        <v>19</v>
      </c>
      <c r="C8" s="6" t="n">
        <v>13005</v>
      </c>
      <c r="D8" s="6" t="n">
        <v>4549</v>
      </c>
      <c r="E8" s="6" t="n">
        <v>17554</v>
      </c>
      <c r="F8" s="7" t="n">
        <v>235420.54</v>
      </c>
    </row>
    <row r="9" customFormat="false" ht="15" hidden="false" customHeight="false" outlineLevel="0" collapsed="false">
      <c r="A9" s="5" t="s">
        <v>11</v>
      </c>
      <c r="B9" s="13" t="s">
        <v>20</v>
      </c>
      <c r="C9" s="6" t="n">
        <v>10850</v>
      </c>
      <c r="D9" s="6" t="n">
        <v>4332</v>
      </c>
      <c r="E9" s="6" t="n">
        <v>15182</v>
      </c>
      <c r="F9" s="7" t="n">
        <v>204446.74</v>
      </c>
    </row>
    <row r="10" customFormat="false" ht="15" hidden="false" customHeight="false" outlineLevel="0" collapsed="false">
      <c r="A10" s="5" t="s">
        <v>11</v>
      </c>
      <c r="B10" s="13" t="s">
        <v>21</v>
      </c>
      <c r="C10" s="6" t="n">
        <v>6498</v>
      </c>
      <c r="D10" s="6" t="n">
        <v>3144</v>
      </c>
      <c r="E10" s="6" t="n">
        <v>9642</v>
      </c>
      <c r="F10" s="7" t="n">
        <v>128434.85</v>
      </c>
    </row>
    <row r="11" customFormat="false" ht="15" hidden="false" customHeight="false" outlineLevel="0" collapsed="false">
      <c r="A11" s="5" t="s">
        <v>11</v>
      </c>
      <c r="B11" s="13" t="s">
        <v>22</v>
      </c>
      <c r="C11" s="6" t="n">
        <v>0</v>
      </c>
      <c r="D11" s="6" t="n">
        <v>5888</v>
      </c>
      <c r="E11" s="6" t="n">
        <v>5888</v>
      </c>
      <c r="F11" s="7" t="n">
        <v>490245.23</v>
      </c>
    </row>
    <row r="12" customFormat="false" ht="15" hidden="false" customHeight="false" outlineLevel="0" collapsed="false">
      <c r="A12" s="5" t="s">
        <v>11</v>
      </c>
      <c r="B12" s="13" t="s">
        <v>23</v>
      </c>
      <c r="C12" s="6" t="n">
        <v>0</v>
      </c>
      <c r="D12" s="6" t="n">
        <v>2865</v>
      </c>
      <c r="E12" s="6" t="n">
        <v>2865</v>
      </c>
      <c r="F12" s="7" t="n">
        <v>33557.46</v>
      </c>
    </row>
    <row r="13" customFormat="false" ht="15" hidden="false" customHeight="false" outlineLevel="0" collapsed="false">
      <c r="A13" s="5" t="s">
        <v>12</v>
      </c>
      <c r="B13" s="13" t="s">
        <v>19</v>
      </c>
      <c r="C13" s="6" t="n">
        <v>12488</v>
      </c>
      <c r="D13" s="6" t="n">
        <v>2240</v>
      </c>
      <c r="E13" s="6" t="n">
        <v>14728</v>
      </c>
      <c r="F13" s="7" t="n">
        <v>203155.74</v>
      </c>
    </row>
    <row r="14" customFormat="false" ht="15" hidden="false" customHeight="false" outlineLevel="0" collapsed="false">
      <c r="A14" s="5" t="s">
        <v>12</v>
      </c>
      <c r="B14" s="13" t="s">
        <v>20</v>
      </c>
      <c r="C14" s="6" t="n">
        <v>13197</v>
      </c>
      <c r="D14" s="6" t="n">
        <v>1920</v>
      </c>
      <c r="E14" s="6" t="n">
        <v>15117</v>
      </c>
      <c r="F14" s="7" t="n">
        <v>209312.16</v>
      </c>
    </row>
    <row r="15" customFormat="false" ht="15" hidden="false" customHeight="false" outlineLevel="0" collapsed="false">
      <c r="A15" s="5" t="s">
        <v>12</v>
      </c>
      <c r="B15" s="13" t="s">
        <v>21</v>
      </c>
      <c r="C15" s="6" t="n">
        <v>7652</v>
      </c>
      <c r="D15" s="6" t="n">
        <v>1016</v>
      </c>
      <c r="E15" s="6" t="n">
        <v>8668</v>
      </c>
      <c r="F15" s="7" t="n">
        <v>119928.72</v>
      </c>
    </row>
    <row r="16" customFormat="false" ht="15" hidden="false" customHeight="false" outlineLevel="0" collapsed="false">
      <c r="A16" s="5" t="s">
        <v>12</v>
      </c>
      <c r="B16" s="13" t="s">
        <v>24</v>
      </c>
      <c r="C16" s="6" t="n">
        <v>10440</v>
      </c>
      <c r="D16" s="6" t="n">
        <v>3640</v>
      </c>
      <c r="E16" s="6" t="n">
        <v>14080</v>
      </c>
      <c r="F16" s="7" t="n">
        <v>195984.33</v>
      </c>
    </row>
    <row r="17" customFormat="false" ht="15" hidden="false" customHeight="false" outlineLevel="0" collapsed="false">
      <c r="A17" s="5" t="s">
        <v>12</v>
      </c>
      <c r="B17" s="13" t="s">
        <v>22</v>
      </c>
      <c r="C17" s="6" t="n">
        <v>0</v>
      </c>
      <c r="D17" s="6" t="n">
        <v>4073</v>
      </c>
      <c r="E17" s="6" t="n">
        <v>4073</v>
      </c>
      <c r="F17" s="7" t="n">
        <v>336574.44</v>
      </c>
    </row>
    <row r="18" customFormat="false" ht="15" hidden="false" customHeight="false" outlineLevel="0" collapsed="false">
      <c r="A18" s="5" t="s">
        <v>12</v>
      </c>
      <c r="B18" s="13" t="s">
        <v>23</v>
      </c>
      <c r="C18" s="6" t="n">
        <v>0</v>
      </c>
      <c r="D18" s="6" t="n">
        <v>1665</v>
      </c>
      <c r="E18" s="6" t="n">
        <v>1665</v>
      </c>
      <c r="F18" s="7" t="n">
        <v>19425.17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16" min="3" style="0" width="14"/>
  </cols>
  <sheetData>
    <row r="1" customFormat="false" ht="15" hidden="false" customHeight="false" outlineLevel="0" collapsed="false">
      <c r="A1" s="3" t="s">
        <v>25</v>
      </c>
    </row>
    <row r="2" customFormat="false" ht="15" hidden="false" customHeight="false" outlineLevel="0" collapsed="false">
      <c r="A2" s="4" t="s">
        <v>3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4</v>
      </c>
      <c r="P2" s="4" t="s">
        <v>39</v>
      </c>
    </row>
    <row r="3" customFormat="false" ht="15" hidden="false" customHeight="false" outlineLevel="0" collapsed="false">
      <c r="A3" s="5" t="s">
        <v>10</v>
      </c>
      <c r="B3" s="13" t="s">
        <v>40</v>
      </c>
      <c r="C3" s="6" t="n">
        <v>4380</v>
      </c>
      <c r="D3" s="6" t="n">
        <v>4560</v>
      </c>
      <c r="E3" s="6" t="n">
        <v>2841</v>
      </c>
      <c r="F3" s="6"/>
      <c r="G3" s="6" t="n">
        <v>1365</v>
      </c>
      <c r="H3" s="6" t="n">
        <v>5805</v>
      </c>
      <c r="I3" s="7" t="n">
        <v>60444.01</v>
      </c>
      <c r="J3" s="7" t="n">
        <v>62928.01</v>
      </c>
      <c r="K3" s="7" t="n">
        <v>39204.95</v>
      </c>
      <c r="L3" s="7"/>
      <c r="M3" s="7" t="n">
        <v>15925.11</v>
      </c>
      <c r="N3" s="7" t="n">
        <v>465920.58</v>
      </c>
      <c r="O3" s="6" t="n">
        <v>18951</v>
      </c>
      <c r="P3" s="7" t="n">
        <v>644422.66</v>
      </c>
    </row>
    <row r="4" customFormat="false" ht="15" hidden="false" customHeight="false" outlineLevel="0" collapsed="false">
      <c r="A4" s="5" t="s">
        <v>10</v>
      </c>
      <c r="B4" s="13" t="s">
        <v>41</v>
      </c>
      <c r="C4" s="6" t="n">
        <v>66</v>
      </c>
      <c r="D4" s="6" t="n">
        <v>60</v>
      </c>
      <c r="E4" s="6" t="n">
        <v>72</v>
      </c>
      <c r="F4" s="6"/>
      <c r="G4" s="6"/>
      <c r="H4" s="6" t="n">
        <v>150</v>
      </c>
      <c r="I4" s="7" t="n">
        <v>891</v>
      </c>
      <c r="J4" s="7" t="n">
        <v>810</v>
      </c>
      <c r="K4" s="7" t="n">
        <v>971.99</v>
      </c>
      <c r="L4" s="7"/>
      <c r="M4" s="7"/>
      <c r="N4" s="7" t="n">
        <v>22499.77</v>
      </c>
      <c r="O4" s="6" t="n">
        <v>348</v>
      </c>
      <c r="P4" s="7" t="n">
        <v>25172.76</v>
      </c>
    </row>
    <row r="5" customFormat="false" ht="15" hidden="false" customHeight="false" outlineLevel="0" collapsed="false">
      <c r="A5" s="5" t="s">
        <v>10</v>
      </c>
      <c r="B5" s="13" t="s">
        <v>42</v>
      </c>
      <c r="C5" s="6" t="n">
        <v>360</v>
      </c>
      <c r="D5" s="6" t="n">
        <v>360</v>
      </c>
      <c r="E5" s="6" t="n">
        <v>240</v>
      </c>
      <c r="F5" s="6"/>
      <c r="G5" s="6" t="n">
        <v>312</v>
      </c>
      <c r="H5" s="6"/>
      <c r="I5" s="7" t="n">
        <v>5040.12</v>
      </c>
      <c r="J5" s="7" t="n">
        <v>5040.12</v>
      </c>
      <c r="K5" s="7" t="n">
        <v>3360.08</v>
      </c>
      <c r="L5" s="7"/>
      <c r="M5" s="7" t="n">
        <v>3744.42</v>
      </c>
      <c r="N5" s="7"/>
      <c r="O5" s="6" t="n">
        <v>1272</v>
      </c>
      <c r="P5" s="7" t="n">
        <v>17184.74</v>
      </c>
    </row>
    <row r="6" customFormat="false" ht="15" hidden="false" customHeight="false" outlineLevel="0" collapsed="false">
      <c r="A6" s="5" t="s">
        <v>10</v>
      </c>
      <c r="B6" s="13" t="s">
        <v>43</v>
      </c>
      <c r="C6" s="6" t="n">
        <v>282</v>
      </c>
      <c r="D6" s="6" t="n">
        <v>330</v>
      </c>
      <c r="E6" s="6" t="n">
        <v>318</v>
      </c>
      <c r="F6" s="6"/>
      <c r="G6" s="6" t="n">
        <v>48</v>
      </c>
      <c r="H6" s="6"/>
      <c r="I6" s="7" t="n">
        <v>3694.35</v>
      </c>
      <c r="J6" s="7" t="n">
        <v>4323.19</v>
      </c>
      <c r="K6" s="7" t="n">
        <v>4166.06</v>
      </c>
      <c r="L6" s="7"/>
      <c r="M6" s="7" t="n">
        <v>1225.71</v>
      </c>
      <c r="N6" s="7"/>
      <c r="O6" s="6" t="n">
        <v>978</v>
      </c>
      <c r="P6" s="7" t="n">
        <v>13409.31</v>
      </c>
    </row>
    <row r="7" customFormat="false" ht="15" hidden="false" customHeight="false" outlineLevel="0" collapsed="false">
      <c r="A7" s="5" t="s">
        <v>10</v>
      </c>
      <c r="B7" s="13" t="s">
        <v>44</v>
      </c>
      <c r="C7" s="6" t="n">
        <v>150</v>
      </c>
      <c r="D7" s="6" t="n">
        <v>150</v>
      </c>
      <c r="E7" s="6" t="n">
        <v>150</v>
      </c>
      <c r="F7" s="6"/>
      <c r="G7" s="6"/>
      <c r="H7" s="6" t="n">
        <v>15</v>
      </c>
      <c r="I7" s="7" t="n">
        <v>1980.4</v>
      </c>
      <c r="J7" s="7" t="n">
        <v>1980.4</v>
      </c>
      <c r="K7" s="7" t="n">
        <v>1980.4</v>
      </c>
      <c r="L7" s="7"/>
      <c r="M7" s="7"/>
      <c r="N7" s="7" t="n">
        <v>1245.25</v>
      </c>
      <c r="O7" s="6" t="n">
        <v>465</v>
      </c>
      <c r="P7" s="7" t="n">
        <v>7186.45</v>
      </c>
    </row>
    <row r="8" customFormat="false" ht="15" hidden="false" customHeight="false" outlineLevel="0" collapsed="false">
      <c r="A8" s="5" t="s">
        <v>11</v>
      </c>
      <c r="B8" s="13" t="s">
        <v>40</v>
      </c>
      <c r="C8" s="6" t="n">
        <v>1527</v>
      </c>
      <c r="D8" s="6" t="n">
        <v>1254</v>
      </c>
      <c r="E8" s="6" t="n">
        <v>612</v>
      </c>
      <c r="F8" s="6"/>
      <c r="G8" s="6" t="n">
        <v>2670</v>
      </c>
      <c r="H8" s="6" t="n">
        <v>5525</v>
      </c>
      <c r="I8" s="7" t="n">
        <v>21072.6</v>
      </c>
      <c r="J8" s="7" t="n">
        <v>17305.2</v>
      </c>
      <c r="K8" s="7" t="n">
        <v>8445.6</v>
      </c>
      <c r="L8" s="7"/>
      <c r="M8" s="7" t="n">
        <v>31150</v>
      </c>
      <c r="N8" s="7" t="n">
        <v>448078.31</v>
      </c>
      <c r="O8" s="6" t="n">
        <v>11588</v>
      </c>
      <c r="P8" s="7" t="n">
        <v>526051.71</v>
      </c>
    </row>
    <row r="9" customFormat="false" ht="15" hidden="false" customHeight="false" outlineLevel="0" collapsed="false">
      <c r="A9" s="5" t="s">
        <v>11</v>
      </c>
      <c r="B9" s="13" t="s">
        <v>45</v>
      </c>
      <c r="C9" s="6" t="n">
        <v>1980</v>
      </c>
      <c r="D9" s="6" t="n">
        <v>1890</v>
      </c>
      <c r="E9" s="6" t="n">
        <v>1776</v>
      </c>
      <c r="F9" s="6"/>
      <c r="G9" s="6"/>
      <c r="H9" s="6"/>
      <c r="I9" s="7" t="n">
        <v>21618.12</v>
      </c>
      <c r="J9" s="7" t="n">
        <v>21549.63</v>
      </c>
      <c r="K9" s="7" t="n">
        <v>20249.76</v>
      </c>
      <c r="L9" s="7"/>
      <c r="M9" s="7"/>
      <c r="N9" s="7"/>
      <c r="O9" s="6" t="n">
        <v>5646</v>
      </c>
      <c r="P9" s="7" t="n">
        <v>63417.51</v>
      </c>
    </row>
    <row r="10" customFormat="false" ht="15" hidden="false" customHeight="false" outlineLevel="0" collapsed="false">
      <c r="A10" s="5" t="s">
        <v>11</v>
      </c>
      <c r="B10" s="13" t="s">
        <v>41</v>
      </c>
      <c r="C10" s="6" t="n">
        <v>42</v>
      </c>
      <c r="D10" s="6" t="n">
        <v>264</v>
      </c>
      <c r="E10" s="6" t="n">
        <v>180</v>
      </c>
      <c r="F10" s="6"/>
      <c r="G10" s="6" t="n">
        <v>45</v>
      </c>
      <c r="H10" s="6" t="n">
        <v>177</v>
      </c>
      <c r="I10" s="7" t="n">
        <v>566.99</v>
      </c>
      <c r="J10" s="7" t="n">
        <v>3563.93</v>
      </c>
      <c r="K10" s="7" t="n">
        <v>2429.94</v>
      </c>
      <c r="L10" s="7"/>
      <c r="M10" s="7" t="n">
        <v>607.75</v>
      </c>
      <c r="N10" s="7" t="n">
        <v>26549.67</v>
      </c>
      <c r="O10" s="6" t="n">
        <v>708</v>
      </c>
      <c r="P10" s="7" t="n">
        <v>33718.28</v>
      </c>
    </row>
    <row r="11" customFormat="false" ht="15" hidden="false" customHeight="false" outlineLevel="0" collapsed="false">
      <c r="A11" s="5" t="s">
        <v>11</v>
      </c>
      <c r="B11" s="13" t="s">
        <v>44</v>
      </c>
      <c r="C11" s="6" t="n">
        <v>160</v>
      </c>
      <c r="D11" s="6" t="n">
        <v>132</v>
      </c>
      <c r="E11" s="6" t="n">
        <v>36</v>
      </c>
      <c r="F11" s="6"/>
      <c r="G11" s="6"/>
      <c r="H11" s="6" t="n">
        <v>156</v>
      </c>
      <c r="I11" s="7" t="n">
        <v>2111.99</v>
      </c>
      <c r="J11" s="7" t="n">
        <v>1742.39</v>
      </c>
      <c r="K11" s="7" t="n">
        <v>475.16</v>
      </c>
      <c r="L11" s="7"/>
      <c r="M11" s="7"/>
      <c r="N11" s="7" t="n">
        <v>12947.62</v>
      </c>
      <c r="O11" s="6" t="n">
        <v>484</v>
      </c>
      <c r="P11" s="7" t="n">
        <v>17277.16</v>
      </c>
    </row>
    <row r="12" customFormat="false" ht="15" hidden="false" customHeight="false" outlineLevel="0" collapsed="false">
      <c r="A12" s="5" t="s">
        <v>11</v>
      </c>
      <c r="B12" s="13" t="s">
        <v>46</v>
      </c>
      <c r="C12" s="6" t="n">
        <v>420</v>
      </c>
      <c r="D12" s="6" t="n">
        <v>414</v>
      </c>
      <c r="E12" s="6" t="n">
        <v>294</v>
      </c>
      <c r="F12" s="6"/>
      <c r="G12" s="6"/>
      <c r="H12" s="6"/>
      <c r="I12" s="7" t="n">
        <v>5078.86</v>
      </c>
      <c r="J12" s="7" t="n">
        <v>5602.58</v>
      </c>
      <c r="K12" s="7" t="n">
        <v>3938.94</v>
      </c>
      <c r="L12" s="7"/>
      <c r="M12" s="7"/>
      <c r="N12" s="7"/>
      <c r="O12" s="6" t="n">
        <v>1128</v>
      </c>
      <c r="P12" s="7" t="n">
        <v>14620.38</v>
      </c>
    </row>
    <row r="13" customFormat="false" ht="15" hidden="false" customHeight="false" outlineLevel="0" collapsed="false">
      <c r="A13" s="5" t="s">
        <v>11</v>
      </c>
      <c r="B13" s="13" t="s">
        <v>43</v>
      </c>
      <c r="C13" s="6" t="n">
        <v>420</v>
      </c>
      <c r="D13" s="6" t="n">
        <v>378</v>
      </c>
      <c r="E13" s="6" t="n">
        <v>246</v>
      </c>
      <c r="F13" s="6"/>
      <c r="G13" s="6"/>
      <c r="H13" s="6"/>
      <c r="I13" s="7" t="n">
        <v>5502.8</v>
      </c>
      <c r="J13" s="7" t="n">
        <v>4952.8</v>
      </c>
      <c r="K13" s="7" t="n">
        <v>3223.16</v>
      </c>
      <c r="L13" s="7"/>
      <c r="M13" s="7"/>
      <c r="N13" s="7"/>
      <c r="O13" s="6" t="n">
        <v>1044</v>
      </c>
      <c r="P13" s="7" t="n">
        <v>13678.76</v>
      </c>
    </row>
    <row r="14" customFormat="false" ht="15" hidden="false" customHeight="false" outlineLevel="0" collapsed="false">
      <c r="A14" s="5" t="s">
        <v>11</v>
      </c>
      <c r="B14" s="13" t="s">
        <v>42</v>
      </c>
      <c r="C14" s="6"/>
      <c r="D14" s="6"/>
      <c r="E14" s="6"/>
      <c r="F14" s="6"/>
      <c r="G14" s="6" t="n">
        <v>150</v>
      </c>
      <c r="H14" s="6" t="n">
        <v>30</v>
      </c>
      <c r="I14" s="7"/>
      <c r="J14" s="7"/>
      <c r="K14" s="7"/>
      <c r="L14" s="7"/>
      <c r="M14" s="7" t="n">
        <v>1800.12</v>
      </c>
      <c r="N14" s="7" t="n">
        <v>2670.18</v>
      </c>
      <c r="O14" s="6" t="n">
        <v>180</v>
      </c>
      <c r="P14" s="7" t="n">
        <v>4470.3</v>
      </c>
    </row>
    <row r="15" customFormat="false" ht="15" hidden="false" customHeight="false" outlineLevel="0" collapsed="false">
      <c r="A15" s="5" t="s">
        <v>12</v>
      </c>
      <c r="B15" s="13" t="s">
        <v>40</v>
      </c>
      <c r="C15" s="6" t="n">
        <v>1180</v>
      </c>
      <c r="D15" s="6" t="n">
        <v>1008</v>
      </c>
      <c r="E15" s="6" t="n">
        <v>476</v>
      </c>
      <c r="F15" s="6" t="n">
        <v>3370</v>
      </c>
      <c r="G15" s="6" t="n">
        <v>1665</v>
      </c>
      <c r="H15" s="6" t="n">
        <v>3651</v>
      </c>
      <c r="I15" s="7" t="n">
        <v>16284</v>
      </c>
      <c r="J15" s="7" t="n">
        <v>13910.4</v>
      </c>
      <c r="K15" s="7" t="n">
        <v>6568.76</v>
      </c>
      <c r="L15" s="7" t="n">
        <v>47855.44</v>
      </c>
      <c r="M15" s="7" t="n">
        <v>19425.17</v>
      </c>
      <c r="N15" s="7" t="n">
        <v>296098.49</v>
      </c>
      <c r="O15" s="6" t="n">
        <v>11350</v>
      </c>
      <c r="P15" s="7" t="n">
        <v>400142.26</v>
      </c>
    </row>
    <row r="16" customFormat="false" ht="15" hidden="false" customHeight="false" outlineLevel="0" collapsed="false">
      <c r="A16" s="5" t="s">
        <v>12</v>
      </c>
      <c r="B16" s="13" t="s">
        <v>44</v>
      </c>
      <c r="C16" s="6" t="n">
        <v>20</v>
      </c>
      <c r="D16" s="6" t="n">
        <v>96</v>
      </c>
      <c r="E16" s="6" t="n">
        <v>52</v>
      </c>
      <c r="F16" s="6" t="n">
        <v>100</v>
      </c>
      <c r="G16" s="6"/>
      <c r="H16" s="6" t="n">
        <v>327</v>
      </c>
      <c r="I16" s="7" t="n">
        <v>263.98</v>
      </c>
      <c r="J16" s="7" t="n">
        <v>1267.19</v>
      </c>
      <c r="K16" s="7" t="n">
        <v>686.36</v>
      </c>
      <c r="L16" s="7" t="n">
        <v>1389.95</v>
      </c>
      <c r="M16" s="7"/>
      <c r="N16" s="7" t="n">
        <v>27140.82</v>
      </c>
      <c r="O16" s="6" t="n">
        <v>595</v>
      </c>
      <c r="P16" s="7" t="n">
        <v>30748.3</v>
      </c>
    </row>
    <row r="17" customFormat="false" ht="15" hidden="false" customHeight="false" outlineLevel="0" collapsed="false">
      <c r="A17" s="5" t="s">
        <v>12</v>
      </c>
      <c r="B17" s="13" t="s">
        <v>41</v>
      </c>
      <c r="C17" s="6" t="n">
        <v>420</v>
      </c>
      <c r="D17" s="6" t="n">
        <v>348</v>
      </c>
      <c r="E17" s="6" t="n">
        <v>198</v>
      </c>
      <c r="F17" s="6"/>
      <c r="G17" s="6"/>
      <c r="H17" s="6" t="n">
        <v>80</v>
      </c>
      <c r="I17" s="7" t="n">
        <v>5670.04</v>
      </c>
      <c r="J17" s="7" t="n">
        <v>4698.08</v>
      </c>
      <c r="K17" s="7" t="n">
        <v>2673.02</v>
      </c>
      <c r="L17" s="7"/>
      <c r="M17" s="7"/>
      <c r="N17" s="7" t="n">
        <v>11999.99</v>
      </c>
      <c r="O17" s="6" t="n">
        <v>1046</v>
      </c>
      <c r="P17" s="7" t="n">
        <v>25041.13</v>
      </c>
    </row>
    <row r="18" customFormat="false" ht="15" hidden="false" customHeight="false" outlineLevel="0" collapsed="false">
      <c r="A18" s="5" t="s">
        <v>12</v>
      </c>
      <c r="B18" s="13" t="s">
        <v>47</v>
      </c>
      <c r="C18" s="6" t="n">
        <v>630</v>
      </c>
      <c r="D18" s="6" t="n">
        <v>492</v>
      </c>
      <c r="E18" s="6" t="n">
        <v>320</v>
      </c>
      <c r="F18" s="6" t="n">
        <v>140</v>
      </c>
      <c r="G18" s="6"/>
      <c r="H18" s="6"/>
      <c r="I18" s="7" t="n">
        <v>7756.72</v>
      </c>
      <c r="J18" s="7" t="n">
        <v>6094.08</v>
      </c>
      <c r="K18" s="7" t="n">
        <v>3951.1</v>
      </c>
      <c r="L18" s="7" t="n">
        <v>2165.89</v>
      </c>
      <c r="M18" s="7"/>
      <c r="N18" s="7"/>
      <c r="O18" s="6" t="n">
        <v>1582</v>
      </c>
      <c r="P18" s="7" t="n">
        <v>19967.79</v>
      </c>
    </row>
    <row r="19" customFormat="false" ht="15" hidden="false" customHeight="false" outlineLevel="0" collapsed="false">
      <c r="A19" s="5" t="s">
        <v>12</v>
      </c>
      <c r="B19" s="13" t="s">
        <v>42</v>
      </c>
      <c r="C19" s="6" t="n">
        <v>30</v>
      </c>
      <c r="D19" s="6" t="n">
        <v>30</v>
      </c>
      <c r="E19" s="6"/>
      <c r="F19" s="6" t="n">
        <v>30</v>
      </c>
      <c r="G19" s="6"/>
      <c r="H19" s="6" t="n">
        <v>15</v>
      </c>
      <c r="I19" s="7" t="n">
        <v>420.04</v>
      </c>
      <c r="J19" s="7" t="n">
        <v>420.04</v>
      </c>
      <c r="K19" s="7"/>
      <c r="L19" s="7" t="n">
        <v>501.05</v>
      </c>
      <c r="M19" s="7"/>
      <c r="N19" s="7" t="n">
        <v>1335.14</v>
      </c>
      <c r="O19" s="6" t="n">
        <v>105</v>
      </c>
      <c r="P19" s="7" t="n">
        <v>2676.27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12" min="3" style="0" width="14"/>
  </cols>
  <sheetData>
    <row r="1" customFormat="false" ht="15" hidden="false" customHeight="false" outlineLevel="0" collapsed="false">
      <c r="A1" s="3" t="s">
        <v>48</v>
      </c>
    </row>
    <row r="2" customFormat="false" ht="15" hidden="false" customHeight="false" outlineLevel="0" collapsed="false">
      <c r="A2" s="4" t="s">
        <v>3</v>
      </c>
      <c r="B2" s="4" t="s">
        <v>49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4</v>
      </c>
      <c r="L2" s="4" t="s">
        <v>39</v>
      </c>
    </row>
    <row r="3" customFormat="false" ht="15" hidden="false" customHeight="false" outlineLevel="0" collapsed="false">
      <c r="A3" s="5" t="s">
        <v>10</v>
      </c>
      <c r="B3" s="13" t="s">
        <v>50</v>
      </c>
      <c r="C3" s="6" t="n">
        <v>10272</v>
      </c>
      <c r="D3" s="6" t="n">
        <v>9749</v>
      </c>
      <c r="E3" s="6" t="n">
        <v>6939</v>
      </c>
      <c r="F3" s="6"/>
      <c r="G3" s="7" t="n">
        <v>141753.6</v>
      </c>
      <c r="H3" s="7" t="n">
        <v>134536.2</v>
      </c>
      <c r="I3" s="7" t="n">
        <v>95758.2</v>
      </c>
      <c r="J3" s="7"/>
      <c r="K3" s="6" t="n">
        <v>26960</v>
      </c>
      <c r="L3" s="7" t="n">
        <v>372048</v>
      </c>
    </row>
    <row r="4" customFormat="false" ht="15" hidden="false" customHeight="false" outlineLevel="0" collapsed="false">
      <c r="A4" s="5" t="s">
        <v>10</v>
      </c>
      <c r="B4" s="13" t="s">
        <v>51</v>
      </c>
      <c r="C4" s="6" t="n">
        <v>7322</v>
      </c>
      <c r="D4" s="6" t="n">
        <v>6802</v>
      </c>
      <c r="E4" s="6" t="n">
        <v>5144</v>
      </c>
      <c r="F4" s="6"/>
      <c r="G4" s="7" t="n">
        <v>101043.6</v>
      </c>
      <c r="H4" s="7" t="n">
        <v>93867.6</v>
      </c>
      <c r="I4" s="7" t="n">
        <v>70987.2</v>
      </c>
      <c r="J4" s="7"/>
      <c r="K4" s="6" t="n">
        <v>19268</v>
      </c>
      <c r="L4" s="7" t="n">
        <v>265898.4</v>
      </c>
    </row>
    <row r="5" customFormat="false" ht="15" hidden="false" customHeight="false" outlineLevel="0" collapsed="false">
      <c r="A5" s="5" t="s">
        <v>10</v>
      </c>
      <c r="B5" s="13" t="s">
        <v>52</v>
      </c>
      <c r="C5" s="6" t="n">
        <v>1818</v>
      </c>
      <c r="D5" s="6" t="n">
        <v>1716</v>
      </c>
      <c r="E5" s="6" t="n">
        <v>1338</v>
      </c>
      <c r="F5" s="6"/>
      <c r="G5" s="7" t="n">
        <v>25088.4</v>
      </c>
      <c r="H5" s="7" t="n">
        <v>23680.8</v>
      </c>
      <c r="I5" s="7" t="n">
        <v>18464.4</v>
      </c>
      <c r="J5" s="7"/>
      <c r="K5" s="6" t="n">
        <v>4872</v>
      </c>
      <c r="L5" s="7" t="n">
        <v>67233.6</v>
      </c>
    </row>
    <row r="6" customFormat="false" ht="15" hidden="false" customHeight="false" outlineLevel="0" collapsed="false">
      <c r="A6" s="5" t="s">
        <v>10</v>
      </c>
      <c r="B6" s="13" t="s">
        <v>53</v>
      </c>
      <c r="C6" s="6" t="n">
        <v>1284</v>
      </c>
      <c r="D6" s="6" t="n">
        <v>1272</v>
      </c>
      <c r="E6" s="6" t="n">
        <v>774</v>
      </c>
      <c r="F6" s="6"/>
      <c r="G6" s="7" t="n">
        <v>17719.2</v>
      </c>
      <c r="H6" s="7" t="n">
        <v>17553.6</v>
      </c>
      <c r="I6" s="7" t="n">
        <v>10681.2</v>
      </c>
      <c r="J6" s="7"/>
      <c r="K6" s="6" t="n">
        <v>3330</v>
      </c>
      <c r="L6" s="7" t="n">
        <v>45954</v>
      </c>
    </row>
    <row r="7" customFormat="false" ht="15" hidden="false" customHeight="false" outlineLevel="0" collapsed="false">
      <c r="A7" s="5" t="s">
        <v>10</v>
      </c>
      <c r="B7" s="13" t="s">
        <v>54</v>
      </c>
      <c r="C7" s="6" t="n">
        <v>936</v>
      </c>
      <c r="D7" s="6" t="n">
        <v>954</v>
      </c>
      <c r="E7" s="6" t="n">
        <v>822</v>
      </c>
      <c r="F7" s="6"/>
      <c r="G7" s="7" t="n">
        <v>12916.8</v>
      </c>
      <c r="H7" s="7" t="n">
        <v>13165.2</v>
      </c>
      <c r="I7" s="7" t="n">
        <v>11343.6</v>
      </c>
      <c r="J7" s="7"/>
      <c r="K7" s="6" t="n">
        <v>2712</v>
      </c>
      <c r="L7" s="7" t="n">
        <v>37425.6</v>
      </c>
    </row>
    <row r="8" customFormat="false" ht="15" hidden="false" customHeight="false" outlineLevel="0" collapsed="false">
      <c r="A8" s="5" t="s">
        <v>10</v>
      </c>
      <c r="B8" s="13" t="s">
        <v>55</v>
      </c>
      <c r="C8" s="6" t="n">
        <v>828</v>
      </c>
      <c r="D8" s="6" t="n">
        <v>846</v>
      </c>
      <c r="E8" s="6" t="n">
        <v>637</v>
      </c>
      <c r="F8" s="6"/>
      <c r="G8" s="7" t="n">
        <v>11426.4</v>
      </c>
      <c r="H8" s="7" t="n">
        <v>11674.8</v>
      </c>
      <c r="I8" s="7" t="n">
        <v>8790.6</v>
      </c>
      <c r="J8" s="7"/>
      <c r="K8" s="6" t="n">
        <v>2311</v>
      </c>
      <c r="L8" s="7" t="n">
        <v>31891.8</v>
      </c>
    </row>
    <row r="9" customFormat="false" ht="15" hidden="false" customHeight="false" outlineLevel="0" collapsed="false">
      <c r="A9" s="5" t="s">
        <v>10</v>
      </c>
      <c r="B9" s="13" t="s">
        <v>56</v>
      </c>
      <c r="C9" s="6" t="n">
        <v>540</v>
      </c>
      <c r="D9" s="6" t="n">
        <v>540</v>
      </c>
      <c r="E9" s="6" t="n">
        <v>402</v>
      </c>
      <c r="F9" s="6"/>
      <c r="G9" s="7" t="n">
        <v>7452</v>
      </c>
      <c r="H9" s="7" t="n">
        <v>7452</v>
      </c>
      <c r="I9" s="7" t="n">
        <v>5547.6</v>
      </c>
      <c r="J9" s="7"/>
      <c r="K9" s="6" t="n">
        <v>1482</v>
      </c>
      <c r="L9" s="7" t="n">
        <v>20451.6</v>
      </c>
    </row>
    <row r="10" customFormat="false" ht="15" hidden="false" customHeight="false" outlineLevel="0" collapsed="false">
      <c r="A10" s="5" t="s">
        <v>10</v>
      </c>
      <c r="B10" s="13" t="s">
        <v>57</v>
      </c>
      <c r="C10" s="6" t="n">
        <v>246</v>
      </c>
      <c r="D10" s="6" t="n">
        <v>246</v>
      </c>
      <c r="E10" s="6" t="n">
        <v>168</v>
      </c>
      <c r="F10" s="6"/>
      <c r="G10" s="7" t="n">
        <v>3394.8</v>
      </c>
      <c r="H10" s="7" t="n">
        <v>3394.8</v>
      </c>
      <c r="I10" s="7" t="n">
        <v>2318.4</v>
      </c>
      <c r="J10" s="7"/>
      <c r="K10" s="6" t="n">
        <v>660</v>
      </c>
      <c r="L10" s="7" t="n">
        <v>9108</v>
      </c>
    </row>
    <row r="11" customFormat="false" ht="15" hidden="false" customHeight="false" outlineLevel="0" collapsed="false">
      <c r="A11" s="5" t="s">
        <v>10</v>
      </c>
      <c r="B11" s="13" t="s">
        <v>58</v>
      </c>
      <c r="C11" s="6" t="n">
        <v>48</v>
      </c>
      <c r="D11" s="6" t="n">
        <v>48</v>
      </c>
      <c r="E11" s="6" t="n">
        <v>48</v>
      </c>
      <c r="F11" s="6"/>
      <c r="G11" s="7" t="n">
        <v>662.4</v>
      </c>
      <c r="H11" s="7" t="n">
        <v>662.4</v>
      </c>
      <c r="I11" s="7" t="n">
        <v>662.4</v>
      </c>
      <c r="J11" s="7"/>
      <c r="K11" s="6" t="n">
        <v>144</v>
      </c>
      <c r="L11" s="7" t="n">
        <v>1987.2</v>
      </c>
    </row>
    <row r="12" customFormat="false" ht="15" hidden="false" customHeight="false" outlineLevel="0" collapsed="false">
      <c r="A12" s="5" t="s">
        <v>11</v>
      </c>
      <c r="B12" s="13" t="s">
        <v>50</v>
      </c>
      <c r="C12" s="6" t="n">
        <v>6196</v>
      </c>
      <c r="D12" s="6" t="n">
        <v>5148</v>
      </c>
      <c r="E12" s="6" t="n">
        <v>3101</v>
      </c>
      <c r="F12" s="6"/>
      <c r="G12" s="7" t="n">
        <v>85504.8</v>
      </c>
      <c r="H12" s="7" t="n">
        <v>71042.4</v>
      </c>
      <c r="I12" s="7" t="n">
        <v>42793.8</v>
      </c>
      <c r="J12" s="7"/>
      <c r="K12" s="6" t="n">
        <v>14445</v>
      </c>
      <c r="L12" s="7" t="n">
        <v>199341</v>
      </c>
    </row>
    <row r="13" customFormat="false" ht="15" hidden="false" customHeight="false" outlineLevel="0" collapsed="false">
      <c r="A13" s="5" t="s">
        <v>11</v>
      </c>
      <c r="B13" s="13" t="s">
        <v>54</v>
      </c>
      <c r="C13" s="6" t="n">
        <v>2494</v>
      </c>
      <c r="D13" s="6" t="n">
        <v>2052</v>
      </c>
      <c r="E13" s="6" t="n">
        <v>1350</v>
      </c>
      <c r="F13" s="6"/>
      <c r="G13" s="7" t="n">
        <v>34417.2</v>
      </c>
      <c r="H13" s="7" t="n">
        <v>28317.6</v>
      </c>
      <c r="I13" s="7" t="n">
        <v>18630</v>
      </c>
      <c r="J13" s="7"/>
      <c r="K13" s="6" t="n">
        <v>5896</v>
      </c>
      <c r="L13" s="7" t="n">
        <v>81364.8</v>
      </c>
    </row>
    <row r="14" customFormat="false" ht="15" hidden="false" customHeight="false" outlineLevel="0" collapsed="false">
      <c r="A14" s="5" t="s">
        <v>11</v>
      </c>
      <c r="B14" s="13" t="s">
        <v>51</v>
      </c>
      <c r="C14" s="6" t="n">
        <v>1732</v>
      </c>
      <c r="D14" s="6" t="n">
        <v>1472</v>
      </c>
      <c r="E14" s="6" t="n">
        <v>709</v>
      </c>
      <c r="F14" s="6"/>
      <c r="G14" s="7" t="n">
        <v>23901.6</v>
      </c>
      <c r="H14" s="7" t="n">
        <v>20313.6</v>
      </c>
      <c r="I14" s="7" t="n">
        <v>9784.2</v>
      </c>
      <c r="J14" s="7"/>
      <c r="K14" s="6" t="n">
        <v>3913</v>
      </c>
      <c r="L14" s="7" t="n">
        <v>53999.4</v>
      </c>
    </row>
    <row r="15" customFormat="false" ht="15" hidden="false" customHeight="false" outlineLevel="0" collapsed="false">
      <c r="A15" s="5" t="s">
        <v>11</v>
      </c>
      <c r="B15" s="13" t="s">
        <v>55</v>
      </c>
      <c r="C15" s="6" t="n">
        <v>657</v>
      </c>
      <c r="D15" s="6" t="n">
        <v>489</v>
      </c>
      <c r="E15" s="6" t="n">
        <v>378</v>
      </c>
      <c r="F15" s="6"/>
      <c r="G15" s="7" t="n">
        <v>9066.6</v>
      </c>
      <c r="H15" s="7" t="n">
        <v>6748.2</v>
      </c>
      <c r="I15" s="7" t="n">
        <v>5216.4</v>
      </c>
      <c r="J15" s="7"/>
      <c r="K15" s="6" t="n">
        <v>1524</v>
      </c>
      <c r="L15" s="7" t="n">
        <v>21031.2</v>
      </c>
    </row>
    <row r="16" customFormat="false" ht="15" hidden="false" customHeight="false" outlineLevel="0" collapsed="false">
      <c r="A16" s="5" t="s">
        <v>11</v>
      </c>
      <c r="B16" s="13" t="s">
        <v>52</v>
      </c>
      <c r="C16" s="6" t="n">
        <v>656</v>
      </c>
      <c r="D16" s="6" t="n">
        <v>553</v>
      </c>
      <c r="E16" s="6" t="n">
        <v>244</v>
      </c>
      <c r="F16" s="6"/>
      <c r="G16" s="7" t="n">
        <v>9052.8</v>
      </c>
      <c r="H16" s="7" t="n">
        <v>7631.4</v>
      </c>
      <c r="I16" s="7" t="n">
        <v>3367.2</v>
      </c>
      <c r="J16" s="7"/>
      <c r="K16" s="6" t="n">
        <v>1453</v>
      </c>
      <c r="L16" s="7" t="n">
        <v>20051.4</v>
      </c>
    </row>
    <row r="17" customFormat="false" ht="15" hidden="false" customHeight="false" outlineLevel="0" collapsed="false">
      <c r="A17" s="5" t="s">
        <v>11</v>
      </c>
      <c r="B17" s="13" t="s">
        <v>56</v>
      </c>
      <c r="C17" s="6" t="n">
        <v>606</v>
      </c>
      <c r="D17" s="6" t="n">
        <v>512</v>
      </c>
      <c r="E17" s="6" t="n">
        <v>288</v>
      </c>
      <c r="F17" s="6"/>
      <c r="G17" s="7" t="n">
        <v>8362.8</v>
      </c>
      <c r="H17" s="7" t="n">
        <v>7065.6</v>
      </c>
      <c r="I17" s="7" t="n">
        <v>3974.4</v>
      </c>
      <c r="J17" s="7"/>
      <c r="K17" s="6" t="n">
        <v>1406</v>
      </c>
      <c r="L17" s="7" t="n">
        <v>19402.8</v>
      </c>
    </row>
    <row r="18" customFormat="false" ht="15" hidden="false" customHeight="false" outlineLevel="0" collapsed="false">
      <c r="A18" s="5" t="s">
        <v>11</v>
      </c>
      <c r="B18" s="13" t="s">
        <v>53</v>
      </c>
      <c r="C18" s="6" t="n">
        <v>428</v>
      </c>
      <c r="D18" s="6" t="n">
        <v>388</v>
      </c>
      <c r="E18" s="6" t="n">
        <v>302</v>
      </c>
      <c r="F18" s="6"/>
      <c r="G18" s="7" t="n">
        <v>5906.4</v>
      </c>
      <c r="H18" s="7" t="n">
        <v>5354.4</v>
      </c>
      <c r="I18" s="7" t="n">
        <v>4167.6</v>
      </c>
      <c r="J18" s="7"/>
      <c r="K18" s="6" t="n">
        <v>1118</v>
      </c>
      <c r="L18" s="7" t="n">
        <v>15428.4</v>
      </c>
    </row>
    <row r="19" customFormat="false" ht="15" hidden="false" customHeight="false" outlineLevel="0" collapsed="false">
      <c r="A19" s="5" t="s">
        <v>11</v>
      </c>
      <c r="B19" s="13" t="s">
        <v>57</v>
      </c>
      <c r="C19" s="6" t="n">
        <v>184</v>
      </c>
      <c r="D19" s="6" t="n">
        <v>200</v>
      </c>
      <c r="E19" s="6" t="n">
        <v>104</v>
      </c>
      <c r="F19" s="6"/>
      <c r="G19" s="7" t="n">
        <v>2539.2</v>
      </c>
      <c r="H19" s="7" t="n">
        <v>2760</v>
      </c>
      <c r="I19" s="7" t="n">
        <v>1435.2</v>
      </c>
      <c r="J19" s="7"/>
      <c r="K19" s="6" t="n">
        <v>488</v>
      </c>
      <c r="L19" s="7" t="n">
        <v>6734.4</v>
      </c>
    </row>
    <row r="20" customFormat="false" ht="15" hidden="false" customHeight="false" outlineLevel="0" collapsed="false">
      <c r="A20" s="5" t="s">
        <v>11</v>
      </c>
      <c r="B20" s="13" t="s">
        <v>58</v>
      </c>
      <c r="C20" s="6" t="n">
        <v>52</v>
      </c>
      <c r="D20" s="6" t="n">
        <v>36</v>
      </c>
      <c r="E20" s="6" t="n">
        <v>22</v>
      </c>
      <c r="F20" s="6"/>
      <c r="G20" s="7" t="n">
        <v>717.6</v>
      </c>
      <c r="H20" s="7" t="n">
        <v>496.8</v>
      </c>
      <c r="I20" s="7" t="n">
        <v>303.6</v>
      </c>
      <c r="J20" s="7"/>
      <c r="K20" s="6" t="n">
        <v>110</v>
      </c>
      <c r="L20" s="7" t="n">
        <v>1518</v>
      </c>
    </row>
    <row r="21" customFormat="false" ht="15" hidden="false" customHeight="false" outlineLevel="0" collapsed="false">
      <c r="A21" s="5" t="s">
        <v>12</v>
      </c>
      <c r="B21" s="13" t="s">
        <v>50</v>
      </c>
      <c r="C21" s="6" t="n">
        <v>4980</v>
      </c>
      <c r="D21" s="6" t="n">
        <v>5680</v>
      </c>
      <c r="E21" s="6" t="n">
        <v>3180</v>
      </c>
      <c r="F21" s="6" t="n">
        <v>5700</v>
      </c>
      <c r="G21" s="7" t="n">
        <v>68724</v>
      </c>
      <c r="H21" s="7" t="n">
        <v>78384</v>
      </c>
      <c r="I21" s="7" t="n">
        <v>43884</v>
      </c>
      <c r="J21" s="7" t="n">
        <v>78660</v>
      </c>
      <c r="K21" s="6" t="n">
        <v>19540</v>
      </c>
      <c r="L21" s="7" t="n">
        <v>269652</v>
      </c>
    </row>
    <row r="22" customFormat="false" ht="15" hidden="false" customHeight="false" outlineLevel="0" collapsed="false">
      <c r="A22" s="5" t="s">
        <v>12</v>
      </c>
      <c r="B22" s="13" t="s">
        <v>51</v>
      </c>
      <c r="C22" s="6" t="n">
        <v>2629</v>
      </c>
      <c r="D22" s="6" t="n">
        <v>2730</v>
      </c>
      <c r="E22" s="6" t="n">
        <v>1069</v>
      </c>
      <c r="F22" s="6" t="n">
        <v>4520</v>
      </c>
      <c r="G22" s="7" t="n">
        <v>36280.2</v>
      </c>
      <c r="H22" s="7" t="n">
        <v>37674</v>
      </c>
      <c r="I22" s="7" t="n">
        <v>14752.2</v>
      </c>
      <c r="J22" s="7" t="n">
        <v>62376</v>
      </c>
      <c r="K22" s="6" t="n">
        <v>10948</v>
      </c>
      <c r="L22" s="7" t="n">
        <v>151082.4</v>
      </c>
    </row>
    <row r="23" customFormat="false" ht="15" hidden="false" customHeight="false" outlineLevel="0" collapsed="false">
      <c r="A23" s="5" t="s">
        <v>12</v>
      </c>
      <c r="B23" s="13" t="s">
        <v>54</v>
      </c>
      <c r="C23" s="6" t="n">
        <v>2378</v>
      </c>
      <c r="D23" s="6" t="n">
        <v>2410</v>
      </c>
      <c r="E23" s="6" t="n">
        <v>1767</v>
      </c>
      <c r="F23" s="6"/>
      <c r="G23" s="7" t="n">
        <v>32816.4</v>
      </c>
      <c r="H23" s="7" t="n">
        <v>33258</v>
      </c>
      <c r="I23" s="7" t="n">
        <v>24384.6</v>
      </c>
      <c r="J23" s="7"/>
      <c r="K23" s="6" t="n">
        <v>6555</v>
      </c>
      <c r="L23" s="7" t="n">
        <v>90459</v>
      </c>
    </row>
    <row r="24" customFormat="false" ht="15" hidden="false" customHeight="false" outlineLevel="0" collapsed="false">
      <c r="A24" s="5" t="s">
        <v>12</v>
      </c>
      <c r="B24" s="13" t="s">
        <v>52</v>
      </c>
      <c r="C24" s="6" t="n">
        <v>770</v>
      </c>
      <c r="D24" s="6" t="n">
        <v>680</v>
      </c>
      <c r="E24" s="6" t="n">
        <v>390</v>
      </c>
      <c r="F24" s="6"/>
      <c r="G24" s="7" t="n">
        <v>10626</v>
      </c>
      <c r="H24" s="7" t="n">
        <v>9384</v>
      </c>
      <c r="I24" s="7" t="n">
        <v>5382</v>
      </c>
      <c r="J24" s="7"/>
      <c r="K24" s="6" t="n">
        <v>1840</v>
      </c>
      <c r="L24" s="7" t="n">
        <v>25392</v>
      </c>
    </row>
    <row r="25" customFormat="false" ht="15" hidden="false" customHeight="false" outlineLevel="0" collapsed="false">
      <c r="A25" s="5" t="s">
        <v>12</v>
      </c>
      <c r="B25" s="13" t="s">
        <v>56</v>
      </c>
      <c r="C25" s="6" t="n">
        <v>579</v>
      </c>
      <c r="D25" s="6" t="n">
        <v>529</v>
      </c>
      <c r="E25" s="6" t="n">
        <v>460</v>
      </c>
      <c r="F25" s="6" t="n">
        <v>160</v>
      </c>
      <c r="G25" s="7" t="n">
        <v>7990.2</v>
      </c>
      <c r="H25" s="7" t="n">
        <v>7300.2</v>
      </c>
      <c r="I25" s="7" t="n">
        <v>6348</v>
      </c>
      <c r="J25" s="7" t="n">
        <v>2208</v>
      </c>
      <c r="K25" s="6" t="n">
        <v>1728</v>
      </c>
      <c r="L25" s="7" t="n">
        <v>23846.4</v>
      </c>
    </row>
    <row r="26" customFormat="false" ht="15" hidden="false" customHeight="false" outlineLevel="0" collapsed="false">
      <c r="A26" s="5" t="s">
        <v>12</v>
      </c>
      <c r="B26" s="13" t="s">
        <v>53</v>
      </c>
      <c r="C26" s="6" t="n">
        <v>610</v>
      </c>
      <c r="D26" s="6" t="n">
        <v>560</v>
      </c>
      <c r="E26" s="6" t="n">
        <v>430</v>
      </c>
      <c r="F26" s="6"/>
      <c r="G26" s="7" t="n">
        <v>8418</v>
      </c>
      <c r="H26" s="7" t="n">
        <v>7728</v>
      </c>
      <c r="I26" s="7" t="n">
        <v>5934</v>
      </c>
      <c r="J26" s="7"/>
      <c r="K26" s="6" t="n">
        <v>1600</v>
      </c>
      <c r="L26" s="7" t="n">
        <v>22080</v>
      </c>
    </row>
    <row r="27" customFormat="false" ht="15" hidden="false" customHeight="false" outlineLevel="0" collapsed="false">
      <c r="A27" s="5" t="s">
        <v>12</v>
      </c>
      <c r="B27" s="13" t="s">
        <v>55</v>
      </c>
      <c r="C27" s="6" t="n">
        <v>352</v>
      </c>
      <c r="D27" s="6" t="n">
        <v>378</v>
      </c>
      <c r="E27" s="6" t="n">
        <v>268</v>
      </c>
      <c r="F27" s="6"/>
      <c r="G27" s="7" t="n">
        <v>4857.6</v>
      </c>
      <c r="H27" s="7" t="n">
        <v>5216.4</v>
      </c>
      <c r="I27" s="7" t="n">
        <v>3698.4</v>
      </c>
      <c r="J27" s="7"/>
      <c r="K27" s="6" t="n">
        <v>998</v>
      </c>
      <c r="L27" s="7" t="n">
        <v>13772.4</v>
      </c>
    </row>
    <row r="28" customFormat="false" ht="15" hidden="false" customHeight="false" outlineLevel="0" collapsed="false">
      <c r="A28" s="5" t="s">
        <v>12</v>
      </c>
      <c r="B28" s="13" t="s">
        <v>57</v>
      </c>
      <c r="C28" s="6" t="n">
        <v>190</v>
      </c>
      <c r="D28" s="6" t="n">
        <v>200</v>
      </c>
      <c r="E28" s="6" t="n">
        <v>88</v>
      </c>
      <c r="F28" s="6"/>
      <c r="G28" s="7" t="n">
        <v>2622</v>
      </c>
      <c r="H28" s="7" t="n">
        <v>2760</v>
      </c>
      <c r="I28" s="7" t="n">
        <v>1214.4</v>
      </c>
      <c r="J28" s="7"/>
      <c r="K28" s="6" t="n">
        <v>478</v>
      </c>
      <c r="L28" s="7" t="n">
        <v>6596.4</v>
      </c>
    </row>
    <row r="29" customFormat="false" ht="15" hidden="false" customHeight="false" outlineLevel="0" collapsed="false">
      <c r="A29" s="5" t="s">
        <v>12</v>
      </c>
      <c r="B29" s="13" t="s">
        <v>58</v>
      </c>
      <c r="C29" s="6"/>
      <c r="D29" s="6" t="n">
        <v>30</v>
      </c>
      <c r="E29" s="6"/>
      <c r="F29" s="6" t="n">
        <v>60</v>
      </c>
      <c r="G29" s="7"/>
      <c r="H29" s="7" t="n">
        <v>414</v>
      </c>
      <c r="I29" s="7"/>
      <c r="J29" s="7" t="n">
        <v>828</v>
      </c>
      <c r="K29" s="6" t="n">
        <v>90</v>
      </c>
      <c r="L29" s="7" t="n">
        <v>1242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9" min="5" style="0" width="16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3" t="s">
        <v>59</v>
      </c>
    </row>
    <row r="2" customFormat="false" ht="15" hidden="false" customHeight="false" outlineLevel="0" collapsed="false">
      <c r="A2" s="4" t="s">
        <v>15</v>
      </c>
      <c r="B2" s="4" t="s">
        <v>60</v>
      </c>
      <c r="C2" s="4" t="s">
        <v>61</v>
      </c>
      <c r="D2" s="4" t="s">
        <v>17</v>
      </c>
      <c r="E2" s="4" t="s">
        <v>62</v>
      </c>
      <c r="F2" s="4" t="s">
        <v>16</v>
      </c>
      <c r="G2" s="4" t="s">
        <v>63</v>
      </c>
      <c r="H2" s="4" t="s">
        <v>4</v>
      </c>
      <c r="I2" s="4" t="s">
        <v>64</v>
      </c>
    </row>
    <row r="3" customFormat="false" ht="15" hidden="false" customHeight="false" outlineLevel="0" collapsed="false">
      <c r="A3" s="5" t="s">
        <v>19</v>
      </c>
      <c r="B3" s="6" t="n">
        <v>16800</v>
      </c>
      <c r="C3" s="13" t="n">
        <v>7</v>
      </c>
      <c r="D3" s="6" t="n">
        <v>1626</v>
      </c>
      <c r="E3" s="13" t="n">
        <v>0.7</v>
      </c>
      <c r="F3" s="6" t="n">
        <v>4704</v>
      </c>
      <c r="G3" s="13" t="n">
        <v>2</v>
      </c>
      <c r="H3" s="6" t="n">
        <v>23130</v>
      </c>
      <c r="I3" s="13" t="n">
        <v>9.6</v>
      </c>
    </row>
    <row r="4" customFormat="false" ht="15" hidden="false" customHeight="false" outlineLevel="0" collapsed="false">
      <c r="A4" s="5" t="s">
        <v>20</v>
      </c>
      <c r="B4" s="6" t="n">
        <v>25830</v>
      </c>
      <c r="C4" s="13" t="n">
        <v>10.8</v>
      </c>
      <c r="D4" s="6" t="n">
        <v>1791</v>
      </c>
      <c r="E4" s="13" t="n">
        <v>0.7</v>
      </c>
      <c r="F4" s="6" t="n">
        <v>4265</v>
      </c>
      <c r="G4" s="13" t="n">
        <v>1.8</v>
      </c>
      <c r="H4" s="6" t="n">
        <v>31886</v>
      </c>
      <c r="I4" s="13" t="n">
        <v>13.3</v>
      </c>
    </row>
    <row r="5" customFormat="false" ht="15" hidden="false" customHeight="false" outlineLevel="0" collapsed="false">
      <c r="A5" s="5" t="s">
        <v>21</v>
      </c>
      <c r="B5" s="6" t="n">
        <v>28800</v>
      </c>
      <c r="C5" s="13" t="n">
        <v>12</v>
      </c>
      <c r="D5" s="6" t="n">
        <v>1585</v>
      </c>
      <c r="E5" s="13" t="n">
        <v>0.7</v>
      </c>
      <c r="F5" s="6" t="n">
        <v>1001</v>
      </c>
      <c r="G5" s="13" t="n">
        <v>0.4</v>
      </c>
      <c r="H5" s="6" t="n">
        <v>31386</v>
      </c>
      <c r="I5" s="13" t="n">
        <v>13.1</v>
      </c>
    </row>
    <row r="6" customFormat="false" ht="15" hidden="false" customHeight="false" outlineLevel="0" collapsed="false">
      <c r="A6" s="5" t="s">
        <v>24</v>
      </c>
      <c r="B6" s="6" t="n">
        <v>0</v>
      </c>
      <c r="C6" s="13" t="s">
        <v>65</v>
      </c>
      <c r="D6" s="6" t="n">
        <v>2296</v>
      </c>
      <c r="E6" s="13" t="n">
        <v>1</v>
      </c>
      <c r="F6" s="6" t="n">
        <v>4160</v>
      </c>
      <c r="G6" s="13" t="n">
        <v>1.7</v>
      </c>
      <c r="H6" s="6" t="n">
        <v>6456</v>
      </c>
      <c r="I6" s="13" t="n">
        <v>2.7</v>
      </c>
    </row>
    <row r="7" customFormat="false" ht="15" hidden="false" customHeight="false" outlineLevel="0" collapsed="false">
      <c r="A7" s="5" t="s">
        <v>22</v>
      </c>
      <c r="B7" s="6" t="n">
        <v>0</v>
      </c>
      <c r="C7" s="13" t="s">
        <v>65</v>
      </c>
      <c r="D7" s="6" t="n">
        <v>1304</v>
      </c>
      <c r="E7" s="13" t="s">
        <v>65</v>
      </c>
      <c r="F7" s="6" t="n">
        <v>0</v>
      </c>
      <c r="G7" s="13" t="s">
        <v>65</v>
      </c>
      <c r="H7" s="6" t="n">
        <v>1304</v>
      </c>
      <c r="I7" s="13" t="s">
        <v>65</v>
      </c>
    </row>
    <row r="8" customFormat="false" ht="15" hidden="false" customHeight="false" outlineLevel="0" collapsed="false">
      <c r="A8" s="9" t="s">
        <v>13</v>
      </c>
      <c r="B8" s="10" t="n">
        <v>71430</v>
      </c>
      <c r="C8" s="14" t="n">
        <v>29.8</v>
      </c>
      <c r="D8" s="10" t="n">
        <v>8602</v>
      </c>
      <c r="E8" s="14" t="n">
        <v>3.6</v>
      </c>
      <c r="F8" s="10" t="n">
        <v>14130</v>
      </c>
      <c r="G8" s="14" t="n">
        <v>5.9</v>
      </c>
      <c r="H8" s="10" t="n">
        <v>94162</v>
      </c>
      <c r="I8" s="14" t="n">
        <v>39.2</v>
      </c>
    </row>
    <row r="10" customFormat="false" ht="15" hidden="false" customHeight="false" outlineLevel="0" collapsed="false">
      <c r="A10" s="3" t="s">
        <v>66</v>
      </c>
    </row>
    <row r="11" customFormat="false" ht="15" hidden="false" customHeight="false" outlineLevel="0" collapsed="false">
      <c r="A11" s="15" t="s">
        <v>67</v>
      </c>
    </row>
    <row r="12" customFormat="false" ht="15" hidden="false" customHeight="false" outlineLevel="0" collapsed="false">
      <c r="A12" s="4" t="s">
        <v>15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74</v>
      </c>
      <c r="I12" s="4" t="s">
        <v>75</v>
      </c>
      <c r="J12" s="4" t="s">
        <v>76</v>
      </c>
      <c r="K12" s="4" t="s">
        <v>77</v>
      </c>
      <c r="L12" s="4" t="s">
        <v>78</v>
      </c>
    </row>
    <row r="13" customFormat="false" ht="15" hidden="false" customHeight="false" outlineLevel="0" collapsed="false">
      <c r="A13" s="5" t="s">
        <v>19</v>
      </c>
      <c r="B13" s="6" t="n">
        <v>16800</v>
      </c>
      <c r="C13" s="13" t="n">
        <v>7</v>
      </c>
      <c r="D13" s="8" t="n">
        <v>0.235195296094078</v>
      </c>
      <c r="E13" s="13" t="s">
        <v>79</v>
      </c>
      <c r="F13" s="13" t="s">
        <v>80</v>
      </c>
      <c r="G13" s="6" t="n">
        <v>20271</v>
      </c>
      <c r="H13" s="6" t="n">
        <v>14728</v>
      </c>
      <c r="I13" s="13" t="n">
        <v>0.8</v>
      </c>
      <c r="J13" s="13" t="s">
        <v>81</v>
      </c>
      <c r="K13" s="6" t="n">
        <v>3471</v>
      </c>
      <c r="L13" s="13" t="n">
        <v>1.4</v>
      </c>
    </row>
    <row r="14" customFormat="false" ht="15" hidden="false" customHeight="false" outlineLevel="0" collapsed="false">
      <c r="A14" s="5" t="s">
        <v>20</v>
      </c>
      <c r="B14" s="6" t="n">
        <v>25830</v>
      </c>
      <c r="C14" s="13" t="n">
        <v>13</v>
      </c>
      <c r="D14" s="8" t="n">
        <v>0.361612767744645</v>
      </c>
      <c r="E14" s="13" t="s">
        <v>82</v>
      </c>
      <c r="F14" s="13" t="s">
        <v>83</v>
      </c>
      <c r="G14" s="6" t="n">
        <v>19311</v>
      </c>
      <c r="H14" s="6" t="n">
        <v>15117</v>
      </c>
      <c r="I14" s="13" t="n">
        <v>1.3</v>
      </c>
      <c r="J14" s="13" t="s">
        <v>81</v>
      </c>
      <c r="K14" s="6" t="s">
        <v>84</v>
      </c>
      <c r="L14" s="13" t="s">
        <v>84</v>
      </c>
    </row>
    <row r="15" customFormat="false" ht="15" hidden="false" customHeight="false" outlineLevel="0" collapsed="false">
      <c r="A15" s="5" t="s">
        <v>21</v>
      </c>
      <c r="B15" s="6" t="n">
        <v>28800</v>
      </c>
      <c r="C15" s="13" t="n">
        <v>12</v>
      </c>
      <c r="D15" s="8" t="n">
        <v>0.403191936161277</v>
      </c>
      <c r="E15" s="13" t="s">
        <v>79</v>
      </c>
      <c r="F15" s="13" t="s">
        <v>85</v>
      </c>
      <c r="G15" s="6" t="n">
        <v>12734</v>
      </c>
      <c r="H15" s="6" t="n">
        <v>8668</v>
      </c>
      <c r="I15" s="13" t="n">
        <v>2.3</v>
      </c>
      <c r="J15" s="13" t="s">
        <v>86</v>
      </c>
      <c r="K15" s="6" t="s">
        <v>84</v>
      </c>
      <c r="L15" s="1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3" t="s">
        <v>87</v>
      </c>
    </row>
    <row r="2" customFormat="false" ht="15" hidden="false" customHeight="false" outlineLevel="0" collapsed="false">
      <c r="A2" s="4" t="s">
        <v>88</v>
      </c>
      <c r="B2" s="4" t="s">
        <v>26</v>
      </c>
      <c r="C2" s="4" t="s">
        <v>4</v>
      </c>
      <c r="D2" s="4" t="s">
        <v>70</v>
      </c>
    </row>
    <row r="3" customFormat="false" ht="15" hidden="false" customHeight="false" outlineLevel="0" collapsed="false">
      <c r="A3" s="13" t="n">
        <v>1</v>
      </c>
      <c r="B3" s="13" t="s">
        <v>89</v>
      </c>
      <c r="C3" s="6" t="n">
        <v>60945</v>
      </c>
      <c r="D3" s="8" t="n">
        <v>0.315223519310641</v>
      </c>
    </row>
    <row r="4" customFormat="false" ht="15" hidden="false" customHeight="false" outlineLevel="0" collapsed="false">
      <c r="A4" s="13" t="n">
        <v>2</v>
      </c>
      <c r="B4" s="13" t="s">
        <v>40</v>
      </c>
      <c r="C4" s="6" t="n">
        <v>41889</v>
      </c>
      <c r="D4" s="8" t="n">
        <v>0.216660890973885</v>
      </c>
    </row>
    <row r="5" customFormat="false" ht="15" hidden="false" customHeight="false" outlineLevel="0" collapsed="false">
      <c r="A5" s="13" t="n">
        <v>3</v>
      </c>
      <c r="B5" s="13" t="s">
        <v>90</v>
      </c>
      <c r="C5" s="6" t="n">
        <v>34129</v>
      </c>
      <c r="D5" s="8" t="n">
        <v>0.176524136361521</v>
      </c>
    </row>
    <row r="6" customFormat="false" ht="15" hidden="false" customHeight="false" outlineLevel="0" collapsed="false">
      <c r="A6" s="13" t="n">
        <v>4</v>
      </c>
      <c r="B6" s="13" t="s">
        <v>91</v>
      </c>
      <c r="C6" s="6" t="n">
        <v>15163</v>
      </c>
      <c r="D6" s="8" t="n">
        <v>0.0784270116220732</v>
      </c>
    </row>
    <row r="7" customFormat="false" ht="15" hidden="false" customHeight="false" outlineLevel="0" collapsed="false">
      <c r="A7" s="13" t="n">
        <v>5</v>
      </c>
      <c r="B7" s="13" t="s">
        <v>92</v>
      </c>
      <c r="C7" s="6" t="n">
        <v>8165</v>
      </c>
      <c r="D7" s="8" t="n">
        <v>0.0422315208002524</v>
      </c>
    </row>
    <row r="8" customFormat="false" ht="15" hidden="false" customHeight="false" outlineLevel="0" collapsed="false">
      <c r="A8" s="13" t="n">
        <v>6</v>
      </c>
      <c r="B8" s="13" t="s">
        <v>93</v>
      </c>
      <c r="C8" s="6" t="n">
        <v>6048</v>
      </c>
      <c r="D8" s="8" t="n">
        <v>0.0312818417391214</v>
      </c>
    </row>
    <row r="9" customFormat="false" ht="15" hidden="false" customHeight="false" outlineLevel="0" collapsed="false">
      <c r="A9" s="13" t="n">
        <v>7</v>
      </c>
      <c r="B9" s="13" t="s">
        <v>45</v>
      </c>
      <c r="C9" s="6" t="n">
        <v>5646</v>
      </c>
      <c r="D9" s="8" t="n">
        <v>0.0292025923378108</v>
      </c>
    </row>
    <row r="10" customFormat="false" ht="15" hidden="false" customHeight="false" outlineLevel="0" collapsed="false">
      <c r="A10" s="13" t="n">
        <v>8</v>
      </c>
      <c r="B10" s="13" t="s">
        <v>94</v>
      </c>
      <c r="C10" s="6" t="n">
        <v>4833</v>
      </c>
      <c r="D10" s="8" t="n">
        <v>0.0249975431754587</v>
      </c>
    </row>
    <row r="11" customFormat="false" ht="15" hidden="false" customHeight="false" outlineLevel="0" collapsed="false">
      <c r="A11" s="13" t="n">
        <v>9</v>
      </c>
      <c r="B11" s="13" t="s">
        <v>95</v>
      </c>
      <c r="C11" s="6" t="n">
        <v>4616</v>
      </c>
      <c r="D11" s="8" t="n">
        <v>0.0238751622797263</v>
      </c>
    </row>
    <row r="12" customFormat="false" ht="15" hidden="false" customHeight="false" outlineLevel="0" collapsed="false">
      <c r="A12" s="13" t="n">
        <v>10</v>
      </c>
      <c r="B12" s="13" t="s">
        <v>41</v>
      </c>
      <c r="C12" s="6" t="n">
        <v>2102</v>
      </c>
      <c r="D12" s="8" t="n">
        <v>0.0108720951282462</v>
      </c>
    </row>
    <row r="13" customFormat="false" ht="15" hidden="false" customHeight="false" outlineLevel="0" collapsed="false">
      <c r="A13" s="13" t="n">
        <v>11</v>
      </c>
      <c r="B13" s="13" t="s">
        <v>43</v>
      </c>
      <c r="C13" s="6" t="n">
        <v>2022</v>
      </c>
      <c r="D13" s="8" t="n">
        <v>0.010458314152861</v>
      </c>
    </row>
    <row r="14" customFormat="false" ht="15" hidden="false" customHeight="false" outlineLevel="0" collapsed="false">
      <c r="A14" s="13" t="n">
        <v>12</v>
      </c>
      <c r="B14" s="13" t="s">
        <v>96</v>
      </c>
      <c r="C14" s="6" t="n">
        <v>1626</v>
      </c>
      <c r="D14" s="8" t="n">
        <v>0.00841009832470428</v>
      </c>
    </row>
    <row r="15" customFormat="false" ht="15" hidden="false" customHeight="false" outlineLevel="0" collapsed="false">
      <c r="A15" s="13" t="n">
        <v>13</v>
      </c>
      <c r="B15" s="13" t="s">
        <v>47</v>
      </c>
      <c r="C15" s="6" t="n">
        <v>1582</v>
      </c>
      <c r="D15" s="8" t="n">
        <v>0.00818251878824241</v>
      </c>
    </row>
    <row r="16" customFormat="false" ht="15" hidden="false" customHeight="false" outlineLevel="0" collapsed="false">
      <c r="A16" s="13" t="n">
        <v>14</v>
      </c>
      <c r="B16" s="13" t="s">
        <v>42</v>
      </c>
      <c r="C16" s="6" t="n">
        <v>1557</v>
      </c>
      <c r="D16" s="8" t="n">
        <v>0.00805321223343454</v>
      </c>
    </row>
    <row r="17" customFormat="false" ht="15" hidden="false" customHeight="false" outlineLevel="0" collapsed="false">
      <c r="A17" s="13" t="n">
        <v>15</v>
      </c>
      <c r="B17" s="13" t="s">
        <v>44</v>
      </c>
      <c r="C17" s="6" t="n">
        <v>1544</v>
      </c>
      <c r="D17" s="8" t="n">
        <v>0.00798597282493444</v>
      </c>
    </row>
    <row r="18" customFormat="false" ht="15" hidden="false" customHeight="false" outlineLevel="0" collapsed="false">
      <c r="A18" s="13" t="n">
        <v>16</v>
      </c>
      <c r="B18" s="13" t="s">
        <v>46</v>
      </c>
      <c r="C18" s="6" t="n">
        <v>1128</v>
      </c>
      <c r="D18" s="8" t="n">
        <v>0.00583431175293138</v>
      </c>
    </row>
    <row r="19" customFormat="false" ht="15" hidden="false" customHeight="false" outlineLevel="0" collapsed="false">
      <c r="A19" s="13" t="n">
        <v>17</v>
      </c>
      <c r="B19" s="13" t="s">
        <v>97</v>
      </c>
      <c r="C19" s="6" t="n">
        <v>344</v>
      </c>
      <c r="D19" s="8" t="n">
        <v>0.00177925819415638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2026-03-04T16:54:00Z</dcterms:created>
  <dc:creator>openpyxl</dc:creator>
  <dc:description/>
  <dc:language>en-US</dc:language>
  <cp:lastModifiedBy/>
  <dcterms:modified xsi:type="dcterms:W3CDTF">2026-03-04T16:54:00Z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