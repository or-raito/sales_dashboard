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Performance" sheetId="2" state="visible" r:id="rId4"/>
    <sheet name="Weekly Sales Trend" sheetId="3" state="visible" r:id="rId5"/>
    <sheet name="Product M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<sst xmlns="http://schemas.openxmlformats.org/spreadsheetml/2006/main" count="301" uniqueCount="140">
  <si>
    <t xml:space="preserve">ICE CREAM SALES DASHBOARD  ·  Dec 2025 – Feb 2026</t>
  </si>
  <si>
    <t xml:space="preserve">Source: ICEDREAM invoice files + Mayyan_Turbo.xlsx  ·  Gross deliveries, returns excluded</t>
  </si>
  <si>
    <t xml:space="preserve">  PORTFOLIO KPIs — All Customers</t>
  </si>
  <si>
    <t xml:space="preserve">Metric</t>
  </si>
  <si>
    <t xml:space="preserve">Dec 2025</t>
  </si>
  <si>
    <t xml:space="preserve">Jan 2026</t>
  </si>
  <si>
    <t xml:space="preserve">Feb 2026</t>
  </si>
  <si>
    <t xml:space="preserve">Dec→Jan</t>
  </si>
  <si>
    <t xml:space="preserve">Jan→Feb</t>
  </si>
  <si>
    <t xml:space="preserve">3M Total</t>
  </si>
  <si>
    <t xml:space="preserve">3M Avg / Month</t>
  </si>
  <si>
    <t xml:space="preserve">Total Revenue (NIS)</t>
  </si>
  <si>
    <t xml:space="preserve">Total Units</t>
  </si>
  <si>
    <t xml:space="preserve">  BY DISTRIBUTOR — Revenue (NIS)</t>
  </si>
  <si>
    <t xml:space="preserve">Distributor</t>
  </si>
  <si>
    <t xml:space="preserve">% of Total</t>
  </si>
  <si>
    <t xml:space="preserve">מעיין נציגויות</t>
  </si>
  <si>
    <t xml:space="preserve">אייסדרים</t>
  </si>
  <si>
    <t xml:space="preserve">TOTAL</t>
  </si>
  <si>
    <t xml:space="preserve">100.0%</t>
  </si>
  <si>
    <t xml:space="preserve">CUSTOMER PERFORMANCE — Revenue, Units &amp; Margins</t>
  </si>
  <si>
    <t xml:space="preserve">Customer</t>
  </si>
  <si>
    <t xml:space="preserve">Status</t>
  </si>
  <si>
    <t xml:space="preserve">Dist %</t>
  </si>
  <si>
    <t xml:space="preserve">Rev Dec</t>
  </si>
  <si>
    <t xml:space="preserve">Rev Jan</t>
  </si>
  <si>
    <t xml:space="preserve">Rev Feb</t>
  </si>
  <si>
    <t xml:space="preserve">3M Revenue</t>
  </si>
  <si>
    <t xml:space="preserve">Units Dec</t>
  </si>
  <si>
    <t xml:space="preserve">Units Jan</t>
  </si>
  <si>
    <t xml:space="preserve">Units Feb</t>
  </si>
  <si>
    <t xml:space="preserve">3M Units</t>
  </si>
  <si>
    <t xml:space="preserve">Avg Price</t>
  </si>
  <si>
    <t xml:space="preserve">Gross Margin</t>
  </si>
  <si>
    <t xml:space="preserve">Op Margin</t>
  </si>
  <si>
    <t xml:space="preserve">MoM Growth (Jan→Feb)</t>
  </si>
  <si>
    <t xml:space="preserve">SKUs</t>
  </si>
  <si>
    <t xml:space="preserve">AMPM</t>
  </si>
  <si>
    <t xml:space="preserve">Active</t>
  </si>
  <si>
    <t xml:space="preserve">אלונית</t>
  </si>
  <si>
    <t xml:space="preserve">גוד פארם</t>
  </si>
  <si>
    <t xml:space="preserve">דלק</t>
  </si>
  <si>
    <t xml:space="preserve">וולט מרקט</t>
  </si>
  <si>
    <t xml:space="preserve">טיב טעם</t>
  </si>
  <si>
    <t xml:space="preserve">ינגו דלי</t>
  </si>
  <si>
    <t xml:space="preserve">כרמלה</t>
  </si>
  <si>
    <t xml:space="preserve">נוי השדה</t>
  </si>
  <si>
    <t xml:space="preserve">שוק פרטי</t>
  </si>
  <si>
    <t xml:space="preserve">עוגיפלצת</t>
  </si>
  <si>
    <t xml:space="preserve">פז יילו</t>
  </si>
  <si>
    <t xml:space="preserve">פז סופר יודה</t>
  </si>
  <si>
    <t xml:space="preserve">סונול</t>
  </si>
  <si>
    <t xml:space="preserve">דומינוס</t>
  </si>
  <si>
    <t xml:space="preserve">חוות נעמי</t>
  </si>
  <si>
    <t xml:space="preserve">TOTAL / AVERAGE</t>
  </si>
  <si>
    <t xml:space="preserve">WEEKLY SALES TREND — Icedreams vs. מעיין נציגויות  ·  28 Dec 2025 – 22 Feb 2026</t>
  </si>
  <si>
    <t xml:space="preserve">Icedreams: W1–W9 (all 9 weeks)  ·  מעיין: W6–W9 only (Feb data)  ·  Gross deliveries, returns excluded  ·  Danis (Dream Cake) included in combined figures</t>
  </si>
  <si>
    <t xml:space="preserve">  WEEKLY REVENUE (NIS)  ·  Icedreams vs. מעיין</t>
  </si>
  <si>
    <t xml:space="preserve">Date</t>
  </si>
  <si>
    <t xml:space="preserve">28/12</t>
  </si>
  <si>
    <t xml:space="preserve">4/1</t>
  </si>
  <si>
    <t xml:space="preserve">11/1</t>
  </si>
  <si>
    <t xml:space="preserve">18/1</t>
  </si>
  <si>
    <t xml:space="preserve">25/1</t>
  </si>
  <si>
    <t xml:space="preserve">1/2</t>
  </si>
  <si>
    <t xml:space="preserve">8/2</t>
  </si>
  <si>
    <t xml:space="preserve">15/2</t>
  </si>
  <si>
    <t xml:space="preserve">22/2</t>
  </si>
  <si>
    <t xml:space="preserve">Total</t>
  </si>
  <si>
    <t xml:space="preserve">Avg/Week</t>
  </si>
  <si>
    <t xml:space="preserve">Icedreams — Combined</t>
  </si>
  <si>
    <t xml:space="preserve">  ↳ Turbo only</t>
  </si>
  <si>
    <t xml:space="preserve">  ↳ Danis (Dream Cake) only</t>
  </si>
  <si>
    <t xml:space="preserve">  ↳ Returns (excl.)</t>
  </si>
  <si>
    <t xml:space="preserve">מעיין — Turbo</t>
  </si>
  <si>
    <t xml:space="preserve">Combined (Ice+מעיין)</t>
  </si>
  <si>
    <t xml:space="preserve">Week date</t>
  </si>
  <si>
    <t xml:space="preserve">  WEEKLY UNITS  ·  Icedreams vs. מעיין</t>
  </si>
  <si>
    <t xml:space="preserve">Week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</si>
  <si>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</si>
  <si>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</si>
  <si>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</si>
  <si>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</si>
  <si>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</si>
  <si>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</si>
  <si>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</si>
  <si>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</si>
  <si>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</si>
  <si>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Icedreams</t>
  </si>
  <si>
    <t xml:space="preserve">מעיין</t>
  </si>
  <si>
    <t xml:space="preserve">Combined</t>
  </si>
  <si>
    <t xml:space="preserve">  WEEK-OVER-WEEK REVENUE GROWTH (%)  ·  Icedreams Combined</t>
  </si>
  <si>
    <t xml:space="preserve">W1→W2</t>
  </si>
  <si>
    <t xml:space="preserve">W2→W3</t>
  </si>
  <si>
    <t xml:space="preserve">W3→W4</t>
  </si>
  <si>
    <t xml:space="preserve">W4→W5</t>
  </si>
  <si>
    <t xml:space="preserve">W5→W6</t>
  </si>
  <si>
    <t xml:space="preserve">W6→W7</t>
  </si>
  <si>
    <t xml:space="preserve">W7→W8</t>
  </si>
  <si>
    <t xml:space="preserve">W8→W9</t>
  </si>
  <si>
    <t xml:space="preserve">Best Week</t>
  </si>
  <si>
    <t xml:space="preserve">Worst Week</t>
  </si>
  <si>
    <t xml:space="preserve">Icedreams WoW %</t>
  </si>
  <si>
    <t xml:space="preserve">  WEEKLY UNITS BY CUSTOMER  ·  Estimated from monthly data using distributor weekly distribution weights  |  * = estimated</t>
  </si>
  <si>
    <t xml:space="preserve">Dec 2025 = W1 (28/12) actual monthly total  ·  Jan/Feb weeks = proportional estimate based on distributor weekly split</t>
  </si>
  <si>
    <t xml:space="preserve">Dist.</t>
  </si>
  <si>
    <t xml:space="preserve">  Icedreams (אייסדרים)  ·  Turbo + Danis</t>
  </si>
  <si>
    <t xml:space="preserve">וולט מרקט *</t>
  </si>
  <si>
    <t xml:space="preserve">Ice</t>
  </si>
  <si>
    <t xml:space="preserve">  WoW %</t>
  </si>
  <si>
    <t xml:space="preserve">—</t>
  </si>
  <si>
    <t xml:space="preserve">ינגו דלי *</t>
  </si>
  <si>
    <t xml:space="preserve">כרמלה *</t>
  </si>
  <si>
    <t xml:space="preserve">נוי השדה *</t>
  </si>
  <si>
    <t xml:space="preserve">גוד פארם *</t>
  </si>
  <si>
    <t xml:space="preserve">דומינוס *</t>
  </si>
  <si>
    <t xml:space="preserve">חוות נעמי *</t>
  </si>
  <si>
    <t xml:space="preserve">עוגיפלצת *</t>
  </si>
  <si>
    <t xml:space="preserve">  Icedreams (אייסדרים)  ·  Turbo + Danis TOTAL</t>
  </si>
  <si>
    <t xml:space="preserve">  מעיין נציגויות  ·  Turbo only</t>
  </si>
  <si>
    <t xml:space="preserve">AMPM *</t>
  </si>
  <si>
    <t xml:space="preserve">שוק פרטי *</t>
  </si>
  <si>
    <t xml:space="preserve">פז יילו *</t>
  </si>
  <si>
    <t xml:space="preserve">פז סופר יודה *</t>
  </si>
  <si>
    <t xml:space="preserve">אלונית *</t>
  </si>
  <si>
    <t xml:space="preserve">דלק *</t>
  </si>
  <si>
    <t xml:space="preserve">טיב טעם *</t>
  </si>
  <si>
    <t xml:space="preserve">סונול *</t>
  </si>
  <si>
    <t xml:space="preserve">  מעיין נציגויות  ·  Turbo only TOTAL</t>
  </si>
  <si>
    <t xml:space="preserve">  GRAND TOTAL (All Customers)</t>
  </si>
  <si>
    <t xml:space="preserve">Dec</t>
  </si>
  <si>
    <t xml:space="preserve">Jan</t>
  </si>
  <si>
    <t xml:space="preserve">Feb</t>
  </si>
  <si>
    <t xml:space="preserve">PRODUCT MIX PER CUSTOMER — Total Units (3-Month Combined)</t>
  </si>
  <si>
    <t xml:space="preserve">Chocolate</t>
  </si>
  <si>
    <t xml:space="preserve">Vanilla</t>
  </si>
  <si>
    <t xml:space="preserve">Mango</t>
  </si>
  <si>
    <t xml:space="preserve">Pistachio</t>
  </si>
  <si>
    <t xml:space="preserve">Dream Cake</t>
  </si>
  <si>
    <t xml:space="preserve">% Choc+Van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</si>
</sst>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\-"/>
    <numFmt numFmtId="166" formatCode="0.0%;\-0.0%;\-"/>
    <numFmt numFmtId="167" formatCode="0%"/>
    <numFmt numFmtId="168" formatCode="#,##0.0;\-#,##0.0;\-"/>
    <numFmt numFmtId="169" formatCode="0.0%"/>
    <numFmt numFmtId="170" formatCode="\+0.0%;\-0.0%;\-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2340"/>
      <name val="Arial"/>
      <family val="0"/>
      <charset val="1"/>
    </font>
    <font>
      <sz val="10"/>
      <color rgb="FF1C234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C2340"/>
      <name val="Arial"/>
      <family val="0"/>
      <charset val="1"/>
    </font>
    <font>
      <sz val="9"/>
      <color rgb="FF1C2340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991B1B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4F8EF7"/>
      <name val="Arial"/>
      <family val="0"/>
      <charset val="1"/>
    </font>
    <font>
      <sz val="9"/>
      <color rgb="FF4F8EF7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64748B"/>
      <name val="Arial"/>
      <family val="0"/>
      <charset val="1"/>
    </font>
    <font>
      <sz val="9"/>
      <color rgb="FFB45309"/>
      <name val="Arial"/>
      <family val="0"/>
      <charset val="1"/>
    </font>
    <font>
      <b val="true"/>
      <sz val="9"/>
      <color rgb="FFB45309"/>
      <name val="Arial"/>
      <family val="0"/>
      <charset val="1"/>
    </font>
    <font>
      <sz val="9"/>
      <color rgb="FF15803D"/>
      <name val="Arial"/>
      <family val="0"/>
      <charset val="1"/>
    </font>
    <font>
      <b val="true"/>
      <sz val="9"/>
      <color rgb="FF6D28D9"/>
      <name val="Arial"/>
      <family val="0"/>
      <charset val="1"/>
    </font>
    <font>
      <sz val="9"/>
      <color rgb="FF6D28D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C3A7A"/>
      <name val="Arial"/>
      <family val="0"/>
      <charset val="1"/>
    </font>
    <font>
      <sz val="8"/>
      <color rgb="FF64748B"/>
      <name val="Arial"/>
      <family val="0"/>
      <charset val="1"/>
    </font>
    <font>
      <sz val="9"/>
      <color rgb="FF1C3A7A"/>
      <name val="Arial"/>
      <family val="0"/>
      <charset val="1"/>
    </font>
    <font>
      <sz val="8"/>
      <color rgb="FF94A3B8"/>
      <name val="Arial"/>
      <family val="0"/>
      <charset val="1"/>
    </font>
    <font>
      <sz val="8"/>
      <color rgb="FF1C234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7C3AED"/>
      <name val="Arial"/>
      <family val="0"/>
      <charset val="1"/>
    </font>
    <font>
      <sz val="9"/>
      <color rgb="FFF59E0B"/>
      <name val="Arial"/>
      <family val="0"/>
      <charset val="1"/>
    </font>
    <font>
      <sz val="9"/>
      <color rgb="FFF97316"/>
      <name val="Arial"/>
      <family val="0"/>
      <charset val="1"/>
    </font>
    <font>
      <sz val="9"/>
      <color rgb="FF16A34A"/>
      <name val="Arial"/>
      <family val="0"/>
      <charset val="1"/>
    </font>
    <font>
      <sz val="9"/>
      <color rgb="FFEC4899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C2340"/>
        <bgColor rgb="FF141A30"/>
      </patternFill>
    </fill>
    <fill>
      <patternFill patternType="solid">
        <fgColor rgb="FF141A30"/>
        <bgColor rgb="FF1C2340"/>
      </patternFill>
    </fill>
    <fill>
      <patternFill patternType="solid">
        <fgColor rgb="FF2D4B8E"/>
        <bgColor rgb="FF1C3A7A"/>
      </patternFill>
    </fill>
    <fill>
      <patternFill patternType="solid">
        <fgColor rgb="FFF0F4FF"/>
        <bgColor rgb="FFEFF6FF"/>
      </patternFill>
    </fill>
    <fill>
      <patternFill patternType="solid">
        <fgColor rgb="FFFFFFFF"/>
        <bgColor rgb="FFFAFFF8"/>
      </patternFill>
    </fill>
    <fill>
      <patternFill patternType="solid">
        <fgColor rgb="FFF0FDF4"/>
        <bgColor rgb="FFFAFFF8"/>
      </patternFill>
    </fill>
    <fill>
      <patternFill patternType="solid">
        <fgColor rgb="FFEFF6FF"/>
        <bgColor rgb="FFF0F4FF"/>
      </patternFill>
    </fill>
    <fill>
      <patternFill patternType="solid">
        <fgColor rgb="FF2A3558"/>
        <bgColor rgb="FF374151"/>
      </patternFill>
    </fill>
    <fill>
      <patternFill patternType="solid">
        <fgColor rgb="FFFEF9C3"/>
        <bgColor rgb="FFF9F9F9"/>
      </patternFill>
    </fill>
    <fill>
      <patternFill patternType="solid">
        <fgColor rgb="FFFEE2E2"/>
        <bgColor rgb="FFF5F3FF"/>
      </patternFill>
    </fill>
    <fill>
      <patternFill patternType="solid">
        <fgColor rgb="FFDCFCE7"/>
        <bgColor rgb="FFF0FDF4"/>
      </patternFill>
    </fill>
    <fill>
      <patternFill patternType="solid">
        <fgColor rgb="FFF8FAFF"/>
        <bgColor rgb="FFF9F9F9"/>
      </patternFill>
    </fill>
    <fill>
      <patternFill patternType="solid">
        <fgColor rgb="FF4F8EF7"/>
        <bgColor rgb="FF4F81BD"/>
      </patternFill>
    </fill>
    <fill>
      <patternFill patternType="solid">
        <fgColor rgb="FFF5F3FF"/>
        <bgColor rgb="FFF0F4FF"/>
      </patternFill>
    </fill>
    <fill>
      <patternFill patternType="solid">
        <fgColor rgb="FFF1F5F9"/>
        <bgColor rgb="FFF0F4FF"/>
      </patternFill>
    </fill>
    <fill>
      <patternFill patternType="solid">
        <fgColor rgb="FF374151"/>
        <bgColor rgb="FF2A3558"/>
      </patternFill>
    </fill>
    <fill>
      <patternFill patternType="solid">
        <fgColor rgb="FF22C55E"/>
        <bgColor rgb="FF16A34A"/>
      </patternFill>
    </fill>
    <fill>
      <patternFill patternType="solid">
        <fgColor rgb="FFFAFF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4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15803D"/>
      <rgbColor rgb="FF000080"/>
      <rgbColor rgb="FFB45309"/>
      <rgbColor rgb="FF6D28D9"/>
      <rgbColor rgb="FF4F81BD"/>
      <rgbColor rgb="FFD9D9D9"/>
      <rgbColor rgb="FF878787"/>
      <rgbColor rgb="FF4F8EF7"/>
      <rgbColor rgb="FFBE4B48"/>
      <rgbColor rgb="FFFEF9C3"/>
      <rgbColor rgb="FFDCFCE7"/>
      <rgbColor rgb="FF660066"/>
      <rgbColor rgb="FFEC4899"/>
      <rgbColor rgb="FF2D4B8E"/>
      <rgbColor rgb="FFCBD5E1"/>
      <rgbColor rgb="FF000080"/>
      <rgbColor rgb="FFFF00FF"/>
      <rgbColor rgb="FFF8FAFF"/>
      <rgbColor rgb="FF00FFFF"/>
      <rgbColor rgb="FF7C3AED"/>
      <rgbColor rgb="FF800000"/>
      <rgbColor rgb="FF008080"/>
      <rgbColor rgb="FF0000FF"/>
      <rgbColor rgb="FF00CCFF"/>
      <rgbColor rgb="FFF0FDF4"/>
      <rgbColor rgb="FFF1F5F9"/>
      <rgbColor rgb="FFFAFFF8"/>
      <rgbColor rgb="FF9BBB59"/>
      <rgbColor rgb="FFF5F3FF"/>
      <rgbColor rgb="FFF0F4FF"/>
      <rgbColor rgb="FFFEE2E2"/>
      <rgbColor rgb="FF4A7EBB"/>
      <rgbColor rgb="FF22C55E"/>
      <rgbColor rgb="FF98B855"/>
      <rgbColor rgb="FFEFF6FF"/>
      <rgbColor rgb="FFF59E0B"/>
      <rgbColor rgb="FFF97316"/>
      <rgbColor rgb="FF64748B"/>
      <rgbColor rgb="FF94A3B8"/>
      <rgbColor rgb="FF1C2340"/>
      <rgbColor rgb="FF16A34A"/>
      <rgbColor rgb="FF141A30"/>
      <rgbColor rgb="FF374151"/>
      <rgbColor rgb="FF991B1B"/>
      <rgbColor rgb="FFC0504D"/>
      <rgbColor rgb="FF1C3A7A"/>
      <rgbColor rgb="FF2A35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Weekly Revenue — Icedreams vs. מעיין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"Icedreams"</c:f>
              <c:strCache>
                <c:ptCount val="1"/>
                <c:pt idx="0">
                  <c:v>Icedreams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'Weekly Sales Trend'!$C$5:$K$5</c:f>
              <c:multiLvlStrCache>
                <c:ptCount val="1"/>
                <c:lvl>
                  <c:pt idx="0">
                    <c:v>22/2</c:v>
                  </c:pt>
                </c:lvl>
                <c:lvl>
                  <c:pt idx="0">
                    <c:v>15/2</c:v>
                  </c:pt>
                </c:lvl>
                <c:lvl>
                  <c:pt idx="0">
                    <c:v>8/2</c:v>
                  </c:pt>
                </c:lvl>
                <c:lvl>
                  <c:pt idx="0">
                    <c:v>1/2</c:v>
                  </c:pt>
                </c:lvl>
                <c:lvl>
                  <c:pt idx="0">
                    <c:v>25/1</c:v>
                  </c:pt>
                </c:lvl>
                <c:lvl>
                  <c:pt idx="0">
                    <c:v>18/1</c:v>
                  </c:pt>
                </c:lvl>
                <c:lvl>
                  <c:pt idx="0">
                    <c:v>11/1</c:v>
                  </c:pt>
                </c:lvl>
                <c:lvl>
                  <c:pt idx="0">
                    <c:v>4/1</c:v>
                  </c:pt>
                </c:lvl>
                <c:lvl>
                  <c:pt idx="0">
                    <c:v>28/12</c:v>
                  </c:pt>
                </c:lvl>
              </c:multiLvlStrCache>
            </c:multiLvlStrRef>
          </c:cat>
          <c:val>
            <c:numRef>
              <c:f>'Weekly Sales Trend'!$C$6:$K$6</c:f>
              <c:numCache>
                <c:formatCode>#,##0;\-#,##0;\-</c:formatCode>
                <c:ptCount val="9"/>
                <c:pt idx="0">
                  <c:v>9256</c:v>
                </c:pt>
                <c:pt idx="1">
                  <c:v>10076</c:v>
                </c:pt>
                <c:pt idx="2">
                  <c:v>1460</c:v>
                </c:pt>
                <c:pt idx="3">
                  <c:v>8070</c:v>
                </c:pt>
                <c:pt idx="4">
                  <c:v>599111</c:v>
                </c:pt>
                <c:pt idx="5">
                  <c:v>17666</c:v>
                </c:pt>
                <c:pt idx="6">
                  <c:v>2673</c:v>
                </c:pt>
                <c:pt idx="7">
                  <c:v>2916</c:v>
                </c:pt>
                <c:pt idx="8">
                  <c:v>437981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"מעיין"</c:f>
              <c:strCache>
                <c:ptCount val="1"/>
                <c:pt idx="0">
                  <c:v>מעיין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'Weekly Sales Trend'!$C$5:$K$5</c:f>
              <c:multiLvlStrCache>
                <c:ptCount val="1"/>
                <c:lvl>
                  <c:pt idx="0">
                    <c:v>22/2</c:v>
                  </c:pt>
                </c:lvl>
                <c:lvl>
                  <c:pt idx="0">
                    <c:v>15/2</c:v>
                  </c:pt>
                </c:lvl>
                <c:lvl>
                  <c:pt idx="0">
                    <c:v>8/2</c:v>
                  </c:pt>
                </c:lvl>
                <c:lvl>
                  <c:pt idx="0">
                    <c:v>1/2</c:v>
                  </c:pt>
                </c:lvl>
                <c:lvl>
                  <c:pt idx="0">
                    <c:v>25/1</c:v>
                  </c:pt>
                </c:lvl>
                <c:lvl>
                  <c:pt idx="0">
                    <c:v>18/1</c:v>
                  </c:pt>
                </c:lvl>
                <c:lvl>
                  <c:pt idx="0">
                    <c:v>11/1</c:v>
                  </c:pt>
                </c:lvl>
                <c:lvl>
                  <c:pt idx="0">
                    <c:v>4/1</c:v>
                  </c:pt>
                </c:lvl>
                <c:lvl>
                  <c:pt idx="0">
                    <c:v>28/12</c:v>
                  </c:pt>
                </c:lvl>
              </c:multiLvlStrCache>
            </c:multiLvlStrRef>
          </c:cat>
          <c:val>
            <c:numRef>
              <c:f>'Weekly Sales Trend'!$C$10:$K$10</c:f>
              <c:numCache>
                <c:formatCode>#,##0;\-#,##0;\-</c:formatCode>
                <c:ptCount val="9"/>
                <c:pt idx="5">
                  <c:v>271460</c:v>
                </c:pt>
                <c:pt idx="6">
                  <c:v>217902</c:v>
                </c:pt>
                <c:pt idx="7">
                  <c:v>481454</c:v>
                </c:pt>
                <c:pt idx="8">
                  <c:v>255107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"Combined"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'Weekly Sales Trend'!$C$5:$K$5</c:f>
              <c:multiLvlStrCache>
                <c:ptCount val="1"/>
                <c:lvl>
                  <c:pt idx="0">
                    <c:v>22/2</c:v>
                  </c:pt>
                </c:lvl>
                <c:lvl>
                  <c:pt idx="0">
                    <c:v>15/2</c:v>
                  </c:pt>
                </c:lvl>
                <c:lvl>
                  <c:pt idx="0">
                    <c:v>8/2</c:v>
                  </c:pt>
                </c:lvl>
                <c:lvl>
                  <c:pt idx="0">
                    <c:v>1/2</c:v>
                  </c:pt>
                </c:lvl>
                <c:lvl>
                  <c:pt idx="0">
                    <c:v>25/1</c:v>
                  </c:pt>
                </c:lvl>
                <c:lvl>
                  <c:pt idx="0">
                    <c:v>18/1</c:v>
                  </c:pt>
                </c:lvl>
                <c:lvl>
                  <c:pt idx="0">
                    <c:v>11/1</c:v>
                  </c:pt>
                </c:lvl>
                <c:lvl>
                  <c:pt idx="0">
                    <c:v>4/1</c:v>
                  </c:pt>
                </c:lvl>
                <c:lvl>
                  <c:pt idx="0">
                    <c:v>28/12</c:v>
                  </c:pt>
                </c:lvl>
              </c:multiLvlStrCache>
            </c:multiLvlStrRef>
          </c:cat>
          <c:val>
            <c:numRef>
              <c:f>'Weekly Sales Trend'!$C$11:$K$11</c:f>
              <c:numCache>
                <c:formatCode>#,##0;\-#,##0;\-</c:formatCode>
                <c:ptCount val="9"/>
                <c:pt idx="0">
                  <c:v>9256</c:v>
                </c:pt>
                <c:pt idx="1">
                  <c:v>10076</c:v>
                </c:pt>
                <c:pt idx="2">
                  <c:v>1460</c:v>
                </c:pt>
                <c:pt idx="3">
                  <c:v>8070</c:v>
                </c:pt>
                <c:pt idx="4">
                  <c:v>599111</c:v>
                </c:pt>
                <c:pt idx="5">
                  <c:v>289126</c:v>
                </c:pt>
                <c:pt idx="6">
                  <c:v>220575</c:v>
                </c:pt>
                <c:pt idx="7">
                  <c:v>484370</c:v>
                </c:pt>
                <c:pt idx="8">
                  <c:v>693088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27533"/>
        <c:axId val="95244701"/>
      </c:lineChart>
      <c:catAx>
        <c:axId val="27627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244701"/>
        <c:crosses val="autoZero"/>
        <c:auto val="1"/>
        <c:lblAlgn val="ctr"/>
        <c:lblOffset val="100"/>
        <c:noMultiLvlLbl val="0"/>
      </c:catAx>
      <c:valAx>
        <c:axId val="95244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(NIS)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6275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Units by Customer — Dec / Jan / Feb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Sales Trend'!B70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Sales Trend'!$A$71:$A$86</c:f>
              <c:strCache>
                <c:ptCount val="16"/>
                <c:pt idx="0">
                  <c:v>וולט מרקט</c:v>
                </c:pt>
                <c:pt idx="1">
                  <c:v>ינגו דלי</c:v>
                </c:pt>
                <c:pt idx="2">
                  <c:v>כרמלה</c:v>
                </c:pt>
                <c:pt idx="3">
                  <c:v>נוי השדה</c:v>
                </c:pt>
                <c:pt idx="4">
                  <c:v>גוד פארם</c:v>
                </c:pt>
                <c:pt idx="5">
                  <c:v>דומינוס</c:v>
                </c:pt>
                <c:pt idx="6">
                  <c:v>חוות נעמי</c:v>
                </c:pt>
                <c:pt idx="7">
                  <c:v>עוגיפלצת</c:v>
                </c:pt>
                <c:pt idx="8">
                  <c:v>AMPM</c:v>
                </c:pt>
                <c:pt idx="9">
                  <c:v>שוק פרטי</c:v>
                </c:pt>
                <c:pt idx="10">
                  <c:v>פז יילו</c:v>
                </c:pt>
                <c:pt idx="11">
                  <c:v>פז סופר יודה</c:v>
                </c:pt>
                <c:pt idx="12">
                  <c:v>אלונית</c:v>
                </c:pt>
                <c:pt idx="13">
                  <c:v>דלק</c:v>
                </c:pt>
                <c:pt idx="14">
                  <c:v>טיב טעם</c:v>
                </c:pt>
                <c:pt idx="15">
                  <c:v>סונול</c:v>
                </c:pt>
              </c:strCache>
            </c:strRef>
          </c:cat>
          <c:val>
            <c:numRef>
              <c:f>'Weekly Sales Trend'!$B$71:$B$86</c:f>
              <c:numCache>
                <c:formatCode>#,##0;\-#,##0;\-</c:formatCode>
                <c:ptCount val="16"/>
                <c:pt idx="0">
                  <c:v>17586</c:v>
                </c:pt>
                <c:pt idx="1">
                  <c:v>348</c:v>
                </c:pt>
                <c:pt idx="2">
                  <c:v>960</c:v>
                </c:pt>
                <c:pt idx="3">
                  <c:v>930</c:v>
                </c:pt>
                <c:pt idx="4">
                  <c:v>0</c:v>
                </c:pt>
                <c:pt idx="5">
                  <c:v>0</c:v>
                </c:pt>
                <c:pt idx="6">
                  <c:v>465</c:v>
                </c:pt>
                <c:pt idx="7">
                  <c:v>0</c:v>
                </c:pt>
                <c:pt idx="8">
                  <c:v>19412</c:v>
                </c:pt>
                <c:pt idx="9">
                  <c:v>26996</c:v>
                </c:pt>
                <c:pt idx="10">
                  <c:v>2712</c:v>
                </c:pt>
                <c:pt idx="11">
                  <c:v>4872</c:v>
                </c:pt>
                <c:pt idx="12">
                  <c:v>1482</c:v>
                </c:pt>
                <c:pt idx="13">
                  <c:v>2311</c:v>
                </c:pt>
                <c:pt idx="14">
                  <c:v>3330</c:v>
                </c:pt>
                <c:pt idx="15">
                  <c:v>624</c:v>
                </c:pt>
              </c:numCache>
            </c:numRef>
          </c:val>
        </c:ser>
        <c:ser>
          <c:idx val="1"/>
          <c:order val="1"/>
          <c:tx>
            <c:strRef>
              <c:f>'Weekly Sales Trend'!C70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Sales Trend'!$A$71:$A$86</c:f>
              <c:strCache>
                <c:ptCount val="16"/>
                <c:pt idx="0">
                  <c:v>וולט מרקט</c:v>
                </c:pt>
                <c:pt idx="1">
                  <c:v>ינגו דלי</c:v>
                </c:pt>
                <c:pt idx="2">
                  <c:v>כרמלה</c:v>
                </c:pt>
                <c:pt idx="3">
                  <c:v>נוי השדה</c:v>
                </c:pt>
                <c:pt idx="4">
                  <c:v>גוד פארם</c:v>
                </c:pt>
                <c:pt idx="5">
                  <c:v>דומינוס</c:v>
                </c:pt>
                <c:pt idx="6">
                  <c:v>חוות נעמי</c:v>
                </c:pt>
                <c:pt idx="7">
                  <c:v>עוגיפלצת</c:v>
                </c:pt>
                <c:pt idx="8">
                  <c:v>AMPM</c:v>
                </c:pt>
                <c:pt idx="9">
                  <c:v>שוק פרטי</c:v>
                </c:pt>
                <c:pt idx="10">
                  <c:v>פז יילו</c:v>
                </c:pt>
                <c:pt idx="11">
                  <c:v>פז סופר יודה</c:v>
                </c:pt>
                <c:pt idx="12">
                  <c:v>אלונית</c:v>
                </c:pt>
                <c:pt idx="13">
                  <c:v>דלק</c:v>
                </c:pt>
                <c:pt idx="14">
                  <c:v>טיב טעם</c:v>
                </c:pt>
                <c:pt idx="15">
                  <c:v>סונול</c:v>
                </c:pt>
              </c:strCache>
            </c:strRef>
          </c:cat>
          <c:val>
            <c:numRef>
              <c:f>'Weekly Sales Trend'!$C$71:$C$86</c:f>
              <c:numCache>
                <c:formatCode>#,##0;\-#,##0;\-</c:formatCode>
                <c:ptCount val="16"/>
                <c:pt idx="0">
                  <c:v>8924</c:v>
                </c:pt>
                <c:pt idx="1">
                  <c:v>663</c:v>
                </c:pt>
                <c:pt idx="2">
                  <c:v>30</c:v>
                </c:pt>
                <c:pt idx="3">
                  <c:v>1044</c:v>
                </c:pt>
                <c:pt idx="4">
                  <c:v>1128</c:v>
                </c:pt>
                <c:pt idx="5">
                  <c:v>5646</c:v>
                </c:pt>
                <c:pt idx="6">
                  <c:v>484</c:v>
                </c:pt>
                <c:pt idx="7">
                  <c:v>0</c:v>
                </c:pt>
                <c:pt idx="8">
                  <c:v>4022</c:v>
                </c:pt>
                <c:pt idx="9">
                  <c:v>14375</c:v>
                </c:pt>
                <c:pt idx="10">
                  <c:v>5896</c:v>
                </c:pt>
                <c:pt idx="11">
                  <c:v>1453</c:v>
                </c:pt>
                <c:pt idx="12">
                  <c:v>1406</c:v>
                </c:pt>
                <c:pt idx="13">
                  <c:v>1504</c:v>
                </c:pt>
                <c:pt idx="14">
                  <c:v>944</c:v>
                </c:pt>
                <c:pt idx="15">
                  <c:v>488</c:v>
                </c:pt>
              </c:numCache>
            </c:numRef>
          </c:val>
        </c:ser>
        <c:ser>
          <c:idx val="2"/>
          <c:order val="2"/>
          <c:tx>
            <c:strRef>
              <c:f>'Weekly Sales Trend'!D70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Sales Trend'!$A$71:$A$86</c:f>
              <c:strCache>
                <c:ptCount val="16"/>
                <c:pt idx="0">
                  <c:v>וולט מרקט</c:v>
                </c:pt>
                <c:pt idx="1">
                  <c:v>ינגו דלי</c:v>
                </c:pt>
                <c:pt idx="2">
                  <c:v>כרמלה</c:v>
                </c:pt>
                <c:pt idx="3">
                  <c:v>נוי השדה</c:v>
                </c:pt>
                <c:pt idx="4">
                  <c:v>גוד פארם</c:v>
                </c:pt>
                <c:pt idx="5">
                  <c:v>דומינוס</c:v>
                </c:pt>
                <c:pt idx="6">
                  <c:v>חוות נעמי</c:v>
                </c:pt>
                <c:pt idx="7">
                  <c:v>עוגיפלצת</c:v>
                </c:pt>
                <c:pt idx="8">
                  <c:v>AMPM</c:v>
                </c:pt>
                <c:pt idx="9">
                  <c:v>שוק פרטי</c:v>
                </c:pt>
                <c:pt idx="10">
                  <c:v>פז יילו</c:v>
                </c:pt>
                <c:pt idx="11">
                  <c:v>פז סופר יודה</c:v>
                </c:pt>
                <c:pt idx="12">
                  <c:v>אלונית</c:v>
                </c:pt>
                <c:pt idx="13">
                  <c:v>דלק</c:v>
                </c:pt>
                <c:pt idx="14">
                  <c:v>טיב טעם</c:v>
                </c:pt>
                <c:pt idx="15">
                  <c:v>סונול</c:v>
                </c:pt>
              </c:strCache>
            </c:strRef>
          </c:cat>
          <c:val>
            <c:numRef>
              <c:f>'Weekly Sales Trend'!$D$71:$D$86</c:f>
              <c:numCache>
                <c:formatCode>#,##0;\-#,##0;\-</c:formatCode>
                <c:ptCount val="16"/>
                <c:pt idx="0">
                  <c:v>9685</c:v>
                </c:pt>
                <c:pt idx="1">
                  <c:v>1046</c:v>
                </c:pt>
                <c:pt idx="2">
                  <c:v>105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595</c:v>
                </c:pt>
                <c:pt idx="7">
                  <c:v>1582</c:v>
                </c:pt>
                <c:pt idx="8">
                  <c:v>11038</c:v>
                </c:pt>
                <c:pt idx="9">
                  <c:v>19540</c:v>
                </c:pt>
                <c:pt idx="10">
                  <c:v>6555</c:v>
                </c:pt>
                <c:pt idx="11">
                  <c:v>1840</c:v>
                </c:pt>
                <c:pt idx="12">
                  <c:v>1728</c:v>
                </c:pt>
                <c:pt idx="13">
                  <c:v>998</c:v>
                </c:pt>
                <c:pt idx="14">
                  <c:v>1600</c:v>
                </c:pt>
                <c:pt idx="15">
                  <c:v>478</c:v>
                </c:pt>
              </c:numCache>
            </c:numRef>
          </c:val>
        </c:ser>
        <c:gapWidth val="150"/>
        <c:overlap val="0"/>
        <c:axId val="36121897"/>
        <c:axId val="55565633"/>
      </c:barChart>
      <c:catAx>
        <c:axId val="361218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565633"/>
        <c:crosses val="autoZero"/>
        <c:auto val="1"/>
        <c:lblAlgn val="ctr"/>
        <c:lblOffset val="100"/>
        <c:noMultiLvlLbl val="0"/>
      </c:catAx>
      <c:valAx>
        <c:axId val="55565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1218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10</xdr:col>
      <xdr:colOff>236880</xdr:colOff>
      <xdr:row>46</xdr:row>
      <xdr:rowOff>157320</xdr:rowOff>
    </xdr:to>
    <xdr:graphicFrame>
      <xdr:nvGraphicFramePr>
        <xdr:cNvPr id="0" name="Chart 1"/>
        <xdr:cNvGraphicFramePr/>
      </xdr:nvGraphicFramePr>
      <xdr:xfrm>
        <a:off x="0" y="54864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87</xdr:row>
      <xdr:rowOff>0</xdr:rowOff>
    </xdr:from>
    <xdr:to>
      <xdr:col>11</xdr:col>
      <xdr:colOff>252000</xdr:colOff>
      <xdr:row>109</xdr:row>
      <xdr:rowOff>128520</xdr:rowOff>
    </xdr:to>
    <xdr:graphicFrame>
      <xdr:nvGraphicFramePr>
        <xdr:cNvPr id="1" name="Chart 2"/>
        <xdr:cNvGraphicFramePr/>
      </xdr:nvGraphicFramePr>
      <xdr:xfrm>
        <a:off x="0" y="175165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8" hidden="false" customHeight="true" outlineLevel="0" collapsed="false">
      <c r="A6" s="5" t="s">
        <v>11</v>
      </c>
      <c r="B6" s="6" t="n">
        <v>1538478.76</v>
      </c>
      <c r="C6" s="6" t="n">
        <v>1056300.73</v>
      </c>
      <c r="D6" s="6" t="n">
        <v>1063273.18</v>
      </c>
      <c r="E6" s="7" t="n">
        <f aca="false">(C6-B6)/B6</f>
        <v>-0.313412211163708</v>
      </c>
      <c r="F6" s="7" t="n">
        <f aca="false">(D6-C6)/C6</f>
        <v>0.00660081906788037</v>
      </c>
      <c r="G6" s="8" t="n">
        <f aca="false">B6+C6+D6</f>
        <v>3658052.67</v>
      </c>
      <c r="H6" s="8" t="n">
        <f aca="false">G6/3</f>
        <v>1219350.89</v>
      </c>
    </row>
    <row r="7" customFormat="false" ht="18" hidden="false" customHeight="true" outlineLevel="0" collapsed="false">
      <c r="A7" s="9" t="s">
        <v>12</v>
      </c>
      <c r="B7" s="10" t="n">
        <v>82028</v>
      </c>
      <c r="C7" s="10" t="n">
        <v>48007</v>
      </c>
      <c r="D7" s="10" t="n">
        <v>56790</v>
      </c>
      <c r="E7" s="11" t="n">
        <f aca="false">(C7-B7)/B7</f>
        <v>-0.414748622421612</v>
      </c>
      <c r="F7" s="11" t="n">
        <f aca="false">(D7-C7)/C7</f>
        <v>0.182952486095778</v>
      </c>
      <c r="G7" s="12" t="n">
        <f aca="false">B7+C7+D7</f>
        <v>186825</v>
      </c>
      <c r="H7" s="12" t="n">
        <f aca="false">G7/3</f>
        <v>62275</v>
      </c>
    </row>
    <row r="9" customFormat="false" ht="21.75" hidden="false" customHeight="true" outlineLevel="0" collapsed="false">
      <c r="A9" s="3" t="s">
        <v>13</v>
      </c>
      <c r="B9" s="3"/>
      <c r="C9" s="3"/>
      <c r="D9" s="3"/>
      <c r="E9" s="3"/>
      <c r="F9" s="3"/>
      <c r="G9" s="3"/>
      <c r="H9" s="3"/>
      <c r="I9" s="3"/>
    </row>
    <row r="10" customFormat="false" ht="19.5" hidden="false" customHeight="true" outlineLevel="0" collapsed="false">
      <c r="A10" s="4" t="s">
        <v>14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15</v>
      </c>
    </row>
    <row r="11" customFormat="false" ht="18" hidden="false" customHeight="true" outlineLevel="0" collapsed="false">
      <c r="A11" s="13" t="s">
        <v>16</v>
      </c>
      <c r="B11" s="14" t="n">
        <v>851999</v>
      </c>
      <c r="C11" s="14" t="n">
        <v>415214</v>
      </c>
      <c r="D11" s="14" t="n">
        <v>604122.6</v>
      </c>
      <c r="E11" s="15" t="n">
        <f aca="false">(C11-B11)/B11</f>
        <v>-0.512659052416728</v>
      </c>
      <c r="F11" s="15" t="n">
        <f aca="false">(D11-C11)/C11</f>
        <v>0.454966836378349</v>
      </c>
      <c r="G11" s="16" t="n">
        <f aca="false">B11+C11+D11</f>
        <v>1871335.6</v>
      </c>
      <c r="H11" s="15" t="n">
        <f aca="false">G11/G13</f>
        <v>0.511566062278704</v>
      </c>
    </row>
    <row r="12" customFormat="false" ht="18" hidden="false" customHeight="true" outlineLevel="0" collapsed="false">
      <c r="A12" s="17" t="s">
        <v>17</v>
      </c>
      <c r="B12" s="18" t="n">
        <v>686479.76</v>
      </c>
      <c r="C12" s="18" t="n">
        <v>641086.73</v>
      </c>
      <c r="D12" s="18" t="n">
        <v>459150.58</v>
      </c>
      <c r="E12" s="19" t="n">
        <f aca="false">(C12-B12)/B12</f>
        <v>-0.0661243530326372</v>
      </c>
      <c r="F12" s="19" t="n">
        <f aca="false">(D12-C12)/C12</f>
        <v>-0.283793348834408</v>
      </c>
      <c r="G12" s="20" t="n">
        <f aca="false">B12+C12+D12</f>
        <v>1786717.07</v>
      </c>
      <c r="H12" s="19" t="n">
        <f aca="false">G12/G13</f>
        <v>0.488433937721296</v>
      </c>
    </row>
    <row r="13" customFormat="false" ht="19.5" hidden="false" customHeight="true" outlineLevel="0" collapsed="false">
      <c r="A13" s="21" t="s">
        <v>18</v>
      </c>
      <c r="B13" s="22" t="n">
        <f aca="false">SUM(B11:B12)</f>
        <v>1538478.76</v>
      </c>
      <c r="C13" s="22" t="n">
        <f aca="false">SUM(C11:C12)</f>
        <v>1056300.73</v>
      </c>
      <c r="D13" s="22" t="n">
        <f aca="false">SUM(D11:D12)</f>
        <v>1063273.18</v>
      </c>
      <c r="E13" s="23" t="n">
        <f aca="false">(C13-B13)/B13</f>
        <v>-0.313412211163708</v>
      </c>
      <c r="F13" s="23" t="n">
        <f aca="false">(D13-C13)/C13</f>
        <v>0.00660081906788037</v>
      </c>
      <c r="G13" s="22" t="n">
        <f aca="false">B13+C13+D13</f>
        <v>3658052.67</v>
      </c>
      <c r="H13" s="23" t="s">
        <v>19</v>
      </c>
    </row>
  </sheetData>
  <mergeCells count="4">
    <mergeCell ref="A1:I1"/>
    <mergeCell ref="A2:I2"/>
    <mergeCell ref="A4:I4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7" min="5" style="0" width="13"/>
    <col collapsed="false" customWidth="true" hidden="false" outlineLevel="0" max="8" min="8" style="0" width="14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7"/>
  </cols>
  <sheetData>
    <row r="1" customFormat="false" ht="27.75" hidden="false" customHeight="true" outlineLevel="0" collapsed="false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customFormat="false" ht="21.75" hidden="false" customHeight="true" outlineLevel="0" collapsed="false">
      <c r="A2" s="25" t="s">
        <v>21</v>
      </c>
      <c r="B2" s="25" t="s">
        <v>14</v>
      </c>
      <c r="C2" s="25" t="s">
        <v>22</v>
      </c>
      <c r="D2" s="25" t="s">
        <v>23</v>
      </c>
      <c r="E2" s="25" t="s">
        <v>24</v>
      </c>
      <c r="F2" s="25" t="s">
        <v>25</v>
      </c>
      <c r="G2" s="25" t="s">
        <v>26</v>
      </c>
      <c r="H2" s="25" t="s">
        <v>27</v>
      </c>
      <c r="I2" s="25" t="s">
        <v>28</v>
      </c>
      <c r="J2" s="25" t="s">
        <v>29</v>
      </c>
      <c r="K2" s="25" t="s">
        <v>30</v>
      </c>
      <c r="L2" s="25" t="s">
        <v>31</v>
      </c>
      <c r="M2" s="25" t="s">
        <v>32</v>
      </c>
      <c r="N2" s="25" t="s">
        <v>33</v>
      </c>
      <c r="O2" s="25" t="s">
        <v>34</v>
      </c>
      <c r="P2" s="25" t="s">
        <v>35</v>
      </c>
      <c r="Q2" s="25" t="s">
        <v>36</v>
      </c>
    </row>
    <row r="3" customFormat="false" ht="16.5" hidden="false" customHeight="true" outlineLevel="0" collapsed="false">
      <c r="A3" s="26" t="s">
        <v>37</v>
      </c>
      <c r="B3" s="27" t="s">
        <v>16</v>
      </c>
      <c r="C3" s="28" t="s">
        <v>38</v>
      </c>
      <c r="D3" s="29" t="n">
        <v>0.25</v>
      </c>
      <c r="E3" s="30" t="n">
        <v>267885</v>
      </c>
      <c r="F3" s="30" t="n">
        <v>55503.6</v>
      </c>
      <c r="G3" s="30" t="n">
        <v>152324.4</v>
      </c>
      <c r="H3" s="30" t="n">
        <f aca="false">E3+F3+G3</f>
        <v>475713</v>
      </c>
      <c r="I3" s="30" t="n">
        <v>19412</v>
      </c>
      <c r="J3" s="30" t="n">
        <v>4022</v>
      </c>
      <c r="K3" s="30" t="n">
        <v>11038</v>
      </c>
      <c r="L3" s="30" t="n">
        <f aca="false">I3+J3+K3</f>
        <v>34472</v>
      </c>
      <c r="M3" s="31" t="n">
        <v>12.36</v>
      </c>
      <c r="N3" s="32" t="n">
        <v>0.4742</v>
      </c>
      <c r="O3" s="33" t="n">
        <v>0.2242</v>
      </c>
      <c r="P3" s="34" t="n">
        <v>1.744</v>
      </c>
      <c r="Q3" s="28" t="n">
        <v>4</v>
      </c>
    </row>
    <row r="4" customFormat="false" ht="16.5" hidden="false" customHeight="true" outlineLevel="0" collapsed="false">
      <c r="A4" s="35" t="s">
        <v>39</v>
      </c>
      <c r="B4" s="36" t="s">
        <v>16</v>
      </c>
      <c r="C4" s="37" t="s">
        <v>38</v>
      </c>
      <c r="D4" s="38" t="n">
        <v>0.25</v>
      </c>
      <c r="E4" s="39" t="n">
        <v>20452</v>
      </c>
      <c r="F4" s="39" t="n">
        <v>19403</v>
      </c>
      <c r="G4" s="39" t="n">
        <v>23846.4</v>
      </c>
      <c r="H4" s="39" t="n">
        <f aca="false">E4+F4+G4</f>
        <v>63701.4</v>
      </c>
      <c r="I4" s="39" t="n">
        <v>1482</v>
      </c>
      <c r="J4" s="39" t="n">
        <v>1406</v>
      </c>
      <c r="K4" s="39" t="n">
        <v>1728</v>
      </c>
      <c r="L4" s="39" t="n">
        <f aca="false">I4+J4+K4</f>
        <v>4616</v>
      </c>
      <c r="M4" s="40" t="n">
        <v>12.25</v>
      </c>
      <c r="N4" s="32" t="n">
        <v>0.4695</v>
      </c>
      <c r="O4" s="33" t="n">
        <v>0.2195</v>
      </c>
      <c r="P4" s="41" t="n">
        <v>0.229</v>
      </c>
      <c r="Q4" s="37" t="n">
        <v>4</v>
      </c>
    </row>
    <row r="5" customFormat="false" ht="16.5" hidden="false" customHeight="true" outlineLevel="0" collapsed="false">
      <c r="A5" s="26" t="s">
        <v>40</v>
      </c>
      <c r="B5" s="27" t="s">
        <v>17</v>
      </c>
      <c r="C5" s="28" t="s">
        <v>38</v>
      </c>
      <c r="D5" s="29" t="n">
        <v>0.15</v>
      </c>
      <c r="E5" s="30" t="n">
        <v>0</v>
      </c>
      <c r="F5" s="30" t="n">
        <v>14620</v>
      </c>
      <c r="G5" s="30" t="n">
        <v>0</v>
      </c>
      <c r="H5" s="30" t="n">
        <f aca="false">E5+F5+G5</f>
        <v>14620</v>
      </c>
      <c r="I5" s="30" t="n">
        <v>0</v>
      </c>
      <c r="J5" s="30" t="n">
        <v>1128</v>
      </c>
      <c r="K5" s="30" t="n">
        <v>0</v>
      </c>
      <c r="L5" s="30" t="n">
        <f aca="false">I5+J5+K5</f>
        <v>1128</v>
      </c>
      <c r="M5" s="31" t="n">
        <v>12.67</v>
      </c>
      <c r="N5" s="32" t="n">
        <v>0.487</v>
      </c>
      <c r="O5" s="33" t="n">
        <v>0.337</v>
      </c>
      <c r="P5" s="42" t="n">
        <v>-1</v>
      </c>
      <c r="Q5" s="28" t="n">
        <v>4</v>
      </c>
    </row>
    <row r="6" customFormat="false" ht="16.5" hidden="false" customHeight="true" outlineLevel="0" collapsed="false">
      <c r="A6" s="35" t="s">
        <v>41</v>
      </c>
      <c r="B6" s="36" t="s">
        <v>16</v>
      </c>
      <c r="C6" s="37" t="s">
        <v>38</v>
      </c>
      <c r="D6" s="38" t="n">
        <v>0.25</v>
      </c>
      <c r="E6" s="39" t="n">
        <v>31892</v>
      </c>
      <c r="F6" s="39" t="n">
        <v>20755.2</v>
      </c>
      <c r="G6" s="39" t="n">
        <v>13772.4</v>
      </c>
      <c r="H6" s="39" t="n">
        <f aca="false">E6+F6+G6</f>
        <v>66419.6</v>
      </c>
      <c r="I6" s="39" t="n">
        <v>2311</v>
      </c>
      <c r="J6" s="39" t="n">
        <v>1504</v>
      </c>
      <c r="K6" s="39" t="n">
        <v>998</v>
      </c>
      <c r="L6" s="39" t="n">
        <f aca="false">I6+J6+K6</f>
        <v>4813</v>
      </c>
      <c r="M6" s="40" t="n">
        <v>12.74</v>
      </c>
      <c r="N6" s="32" t="n">
        <v>0.4898</v>
      </c>
      <c r="O6" s="33" t="n">
        <v>0.2398</v>
      </c>
      <c r="P6" s="43" t="n">
        <v>-0.336</v>
      </c>
      <c r="Q6" s="37" t="n">
        <v>4</v>
      </c>
    </row>
    <row r="7" customFormat="false" ht="16.5" hidden="false" customHeight="true" outlineLevel="0" collapsed="false">
      <c r="A7" s="26" t="s">
        <v>42</v>
      </c>
      <c r="B7" s="27" t="s">
        <v>17</v>
      </c>
      <c r="C7" s="28" t="s">
        <v>38</v>
      </c>
      <c r="D7" s="29" t="n">
        <v>0.15</v>
      </c>
      <c r="E7" s="30" t="n">
        <v>628497.89</v>
      </c>
      <c r="F7" s="30" t="n">
        <v>496311.6</v>
      </c>
      <c r="G7" s="30" t="n">
        <v>380717.09</v>
      </c>
      <c r="H7" s="30" t="n">
        <f aca="false">E7+F7+G7</f>
        <v>1505526.58</v>
      </c>
      <c r="I7" s="30" t="n">
        <v>17586</v>
      </c>
      <c r="J7" s="30" t="n">
        <v>8924</v>
      </c>
      <c r="K7" s="30" t="n">
        <v>9685</v>
      </c>
      <c r="L7" s="30" t="n">
        <f aca="false">I7+J7+K7</f>
        <v>36195</v>
      </c>
      <c r="M7" s="31" t="n">
        <v>40.81</v>
      </c>
      <c r="N7" s="33" t="n">
        <v>0.3744</v>
      </c>
      <c r="O7" s="33" t="n">
        <v>0.2244</v>
      </c>
      <c r="P7" s="34" t="n">
        <v>0.085</v>
      </c>
      <c r="Q7" s="28" t="n">
        <v>6</v>
      </c>
    </row>
    <row r="8" customFormat="false" ht="16.5" hidden="false" customHeight="true" outlineLevel="0" collapsed="false">
      <c r="A8" s="35" t="s">
        <v>43</v>
      </c>
      <c r="B8" s="36" t="s">
        <v>16</v>
      </c>
      <c r="C8" s="37" t="s">
        <v>38</v>
      </c>
      <c r="D8" s="38" t="n">
        <v>0.25</v>
      </c>
      <c r="E8" s="39" t="n">
        <v>45954</v>
      </c>
      <c r="F8" s="39" t="n">
        <v>13027.2</v>
      </c>
      <c r="G8" s="39" t="n">
        <v>22080</v>
      </c>
      <c r="H8" s="39" t="n">
        <f aca="false">E8+F8+G8</f>
        <v>81061.2</v>
      </c>
      <c r="I8" s="39" t="n">
        <v>3330</v>
      </c>
      <c r="J8" s="39" t="n">
        <v>944</v>
      </c>
      <c r="K8" s="39" t="n">
        <v>1600</v>
      </c>
      <c r="L8" s="39" t="n">
        <f aca="false">I8+J8+K8</f>
        <v>5874</v>
      </c>
      <c r="M8" s="40" t="n">
        <v>14.2</v>
      </c>
      <c r="N8" s="44" t="n">
        <v>0.5423</v>
      </c>
      <c r="O8" s="33" t="n">
        <v>0.2923</v>
      </c>
      <c r="P8" s="41" t="n">
        <v>0.695</v>
      </c>
      <c r="Q8" s="37" t="n">
        <v>4</v>
      </c>
    </row>
    <row r="9" customFormat="false" ht="16.5" hidden="false" customHeight="true" outlineLevel="0" collapsed="false">
      <c r="A9" s="26" t="s">
        <v>44</v>
      </c>
      <c r="B9" s="27" t="s">
        <v>17</v>
      </c>
      <c r="C9" s="28" t="s">
        <v>38</v>
      </c>
      <c r="D9" s="29" t="n">
        <v>0.15</v>
      </c>
      <c r="E9" s="30" t="n">
        <v>25173</v>
      </c>
      <c r="F9" s="30" t="n">
        <v>33111.25</v>
      </c>
      <c r="G9" s="30" t="n">
        <v>25041.13</v>
      </c>
      <c r="H9" s="30" t="n">
        <f aca="false">E9+F9+G9</f>
        <v>83325.38</v>
      </c>
      <c r="I9" s="30" t="n">
        <v>348</v>
      </c>
      <c r="J9" s="30" t="n">
        <v>663</v>
      </c>
      <c r="K9" s="30" t="n">
        <v>1046</v>
      </c>
      <c r="L9" s="30" t="n">
        <f aca="false">I9+J9+K9</f>
        <v>2057</v>
      </c>
      <c r="M9" s="31" t="n">
        <v>29.42</v>
      </c>
      <c r="N9" s="32" t="n">
        <v>0.4025</v>
      </c>
      <c r="O9" s="33" t="n">
        <v>0.2525</v>
      </c>
      <c r="P9" s="34" t="n">
        <v>0.578</v>
      </c>
      <c r="Q9" s="28" t="n">
        <v>6</v>
      </c>
    </row>
    <row r="10" customFormat="false" ht="16.5" hidden="false" customHeight="true" outlineLevel="0" collapsed="false">
      <c r="A10" s="35" t="s">
        <v>45</v>
      </c>
      <c r="B10" s="36" t="s">
        <v>17</v>
      </c>
      <c r="C10" s="37" t="s">
        <v>38</v>
      </c>
      <c r="D10" s="38" t="n">
        <v>0.15</v>
      </c>
      <c r="E10" s="39" t="n">
        <v>13440.58</v>
      </c>
      <c r="F10" s="39" t="n">
        <v>2669.88</v>
      </c>
      <c r="G10" s="39" t="n">
        <v>2676.27</v>
      </c>
      <c r="H10" s="39" t="n">
        <f aca="false">E10+F10+G10</f>
        <v>18786.73</v>
      </c>
      <c r="I10" s="39" t="n">
        <v>960</v>
      </c>
      <c r="J10" s="39" t="n">
        <v>30</v>
      </c>
      <c r="K10" s="39" t="n">
        <v>105</v>
      </c>
      <c r="L10" s="39" t="n">
        <f aca="false">I10+J10+K10</f>
        <v>1095</v>
      </c>
      <c r="M10" s="40" t="n">
        <v>22.23</v>
      </c>
      <c r="N10" s="32" t="n">
        <v>0.4349</v>
      </c>
      <c r="O10" s="33" t="n">
        <v>0.2849</v>
      </c>
      <c r="P10" s="41" t="n">
        <v>2.5</v>
      </c>
      <c r="Q10" s="37" t="n">
        <v>6</v>
      </c>
    </row>
    <row r="11" customFormat="false" ht="16.5" hidden="false" customHeight="true" outlineLevel="0" collapsed="false">
      <c r="A11" s="26" t="s">
        <v>46</v>
      </c>
      <c r="B11" s="27" t="s">
        <v>17</v>
      </c>
      <c r="C11" s="28" t="s">
        <v>38</v>
      </c>
      <c r="D11" s="29" t="n">
        <v>0.15</v>
      </c>
      <c r="E11" s="30" t="n">
        <v>12183.29</v>
      </c>
      <c r="F11" s="30" t="n">
        <v>13679</v>
      </c>
      <c r="G11" s="30" t="n">
        <v>0</v>
      </c>
      <c r="H11" s="30" t="n">
        <f aca="false">E11+F11+G11</f>
        <v>25862.29</v>
      </c>
      <c r="I11" s="30" t="n">
        <v>930</v>
      </c>
      <c r="J11" s="30" t="n">
        <v>1044</v>
      </c>
      <c r="K11" s="30" t="n">
        <v>0</v>
      </c>
      <c r="L11" s="30" t="n">
        <f aca="false">I11+J11+K11</f>
        <v>1974</v>
      </c>
      <c r="M11" s="31" t="n">
        <v>13.59</v>
      </c>
      <c r="N11" s="32" t="n">
        <v>0.4953</v>
      </c>
      <c r="O11" s="33" t="n">
        <v>0.3453</v>
      </c>
      <c r="P11" s="42" t="n">
        <v>-1</v>
      </c>
      <c r="Q11" s="28" t="n">
        <v>5</v>
      </c>
    </row>
    <row r="12" customFormat="false" ht="16.5" hidden="false" customHeight="true" outlineLevel="0" collapsed="false">
      <c r="A12" s="35" t="s">
        <v>47</v>
      </c>
      <c r="B12" s="36" t="s">
        <v>16</v>
      </c>
      <c r="C12" s="37" t="s">
        <v>38</v>
      </c>
      <c r="D12" s="38" t="n">
        <v>0.25</v>
      </c>
      <c r="E12" s="39" t="n">
        <v>372544.8</v>
      </c>
      <c r="F12" s="39" t="n">
        <v>198375</v>
      </c>
      <c r="G12" s="39" t="n">
        <v>269652</v>
      </c>
      <c r="H12" s="39" t="n">
        <f aca="false">E12+F12+G12</f>
        <v>840571.8</v>
      </c>
      <c r="I12" s="39" t="n">
        <v>26996</v>
      </c>
      <c r="J12" s="39" t="n">
        <v>14375</v>
      </c>
      <c r="K12" s="39" t="n">
        <v>19540</v>
      </c>
      <c r="L12" s="39" t="n">
        <f aca="false">I12+J12+K12</f>
        <v>60911</v>
      </c>
      <c r="M12" s="40" t="n">
        <v>14.1</v>
      </c>
      <c r="N12" s="44" t="n">
        <v>0.539</v>
      </c>
      <c r="O12" s="33" t="n">
        <v>0.289</v>
      </c>
      <c r="P12" s="41" t="n">
        <v>0.359</v>
      </c>
      <c r="Q12" s="37" t="n">
        <v>4</v>
      </c>
    </row>
    <row r="13" customFormat="false" ht="16.5" hidden="false" customHeight="true" outlineLevel="0" collapsed="false">
      <c r="A13" s="26" t="s">
        <v>48</v>
      </c>
      <c r="B13" s="27" t="s">
        <v>17</v>
      </c>
      <c r="C13" s="28" t="s">
        <v>38</v>
      </c>
      <c r="D13" s="29" t="n">
        <v>0.15</v>
      </c>
      <c r="E13" s="30" t="n">
        <v>0</v>
      </c>
      <c r="F13" s="30" t="n">
        <v>0</v>
      </c>
      <c r="G13" s="30" t="n">
        <v>19967.79</v>
      </c>
      <c r="H13" s="30" t="n">
        <f aca="false">E13+F13+G13</f>
        <v>19967.79</v>
      </c>
      <c r="I13" s="30" t="n">
        <v>0</v>
      </c>
      <c r="J13" s="30" t="n">
        <v>0</v>
      </c>
      <c r="K13" s="30" t="n">
        <v>1582</v>
      </c>
      <c r="L13" s="30" t="n">
        <f aca="false">I13+J13+K13</f>
        <v>1582</v>
      </c>
      <c r="M13" s="31"/>
      <c r="N13" s="45"/>
      <c r="O13" s="45"/>
      <c r="P13" s="45"/>
      <c r="Q13" s="28" t="n">
        <v>3</v>
      </c>
    </row>
    <row r="14" customFormat="false" ht="16.5" hidden="false" customHeight="true" outlineLevel="0" collapsed="false">
      <c r="A14" s="35" t="s">
        <v>49</v>
      </c>
      <c r="B14" s="36" t="s">
        <v>16</v>
      </c>
      <c r="C14" s="37" t="s">
        <v>38</v>
      </c>
      <c r="D14" s="38" t="n">
        <v>0.25</v>
      </c>
      <c r="E14" s="39" t="n">
        <v>37426</v>
      </c>
      <c r="F14" s="39" t="n">
        <v>81365</v>
      </c>
      <c r="G14" s="39" t="n">
        <v>90459</v>
      </c>
      <c r="H14" s="39" t="n">
        <f aca="false">E14+F14+G14</f>
        <v>209250</v>
      </c>
      <c r="I14" s="39" t="n">
        <v>2712</v>
      </c>
      <c r="J14" s="39" t="n">
        <v>5896</v>
      </c>
      <c r="K14" s="39" t="n">
        <v>6555</v>
      </c>
      <c r="L14" s="39" t="n">
        <f aca="false">I14+J14+K14</f>
        <v>15163</v>
      </c>
      <c r="M14" s="40" t="n">
        <v>11</v>
      </c>
      <c r="N14" s="32" t="n">
        <v>0.4091</v>
      </c>
      <c r="O14" s="33" t="n">
        <v>0.1591</v>
      </c>
      <c r="P14" s="41" t="n">
        <v>0.112</v>
      </c>
      <c r="Q14" s="37" t="n">
        <v>3</v>
      </c>
    </row>
    <row r="15" customFormat="false" ht="16.5" hidden="false" customHeight="true" outlineLevel="0" collapsed="false">
      <c r="A15" s="26" t="s">
        <v>50</v>
      </c>
      <c r="B15" s="27" t="s">
        <v>16</v>
      </c>
      <c r="C15" s="28" t="s">
        <v>38</v>
      </c>
      <c r="D15" s="29" t="n">
        <v>0.25</v>
      </c>
      <c r="E15" s="30" t="n">
        <v>67234</v>
      </c>
      <c r="F15" s="30" t="n">
        <v>20051</v>
      </c>
      <c r="G15" s="30" t="n">
        <v>25392</v>
      </c>
      <c r="H15" s="30" t="n">
        <f aca="false">E15+F15+G15</f>
        <v>112677</v>
      </c>
      <c r="I15" s="30" t="n">
        <v>4872</v>
      </c>
      <c r="J15" s="30" t="n">
        <v>1453</v>
      </c>
      <c r="K15" s="30" t="n">
        <v>1840</v>
      </c>
      <c r="L15" s="30" t="n">
        <f aca="false">I15+J15+K15</f>
        <v>8165</v>
      </c>
      <c r="M15" s="31" t="n">
        <v>11</v>
      </c>
      <c r="N15" s="32" t="n">
        <v>0.4091</v>
      </c>
      <c r="O15" s="33" t="n">
        <v>0.1591</v>
      </c>
      <c r="P15" s="34" t="n">
        <v>0.266</v>
      </c>
      <c r="Q15" s="28" t="n">
        <v>3</v>
      </c>
    </row>
    <row r="16" customFormat="false" ht="16.5" hidden="false" customHeight="true" outlineLevel="0" collapsed="false">
      <c r="A16" s="35" t="s">
        <v>51</v>
      </c>
      <c r="B16" s="36" t="s">
        <v>16</v>
      </c>
      <c r="C16" s="37" t="s">
        <v>38</v>
      </c>
      <c r="D16" s="38" t="n">
        <v>0.25</v>
      </c>
      <c r="E16" s="39" t="n">
        <v>8611.2</v>
      </c>
      <c r="F16" s="39" t="n">
        <v>6734</v>
      </c>
      <c r="G16" s="39" t="n">
        <v>6596.4</v>
      </c>
      <c r="H16" s="39" t="n">
        <f aca="false">E16+F16+G16</f>
        <v>21941.6</v>
      </c>
      <c r="I16" s="39" t="n">
        <v>624</v>
      </c>
      <c r="J16" s="39" t="n">
        <v>488</v>
      </c>
      <c r="K16" s="39" t="n">
        <v>478</v>
      </c>
      <c r="L16" s="39" t="n">
        <f aca="false">I16+J16+K16</f>
        <v>1590</v>
      </c>
      <c r="M16" s="40" t="n">
        <v>14</v>
      </c>
      <c r="N16" s="44" t="n">
        <v>0.5357</v>
      </c>
      <c r="O16" s="33" t="n">
        <v>0.2857</v>
      </c>
      <c r="P16" s="43" t="n">
        <v>-0.02</v>
      </c>
      <c r="Q16" s="37" t="n">
        <v>3</v>
      </c>
    </row>
    <row r="17" customFormat="false" ht="16.5" hidden="false" customHeight="true" outlineLevel="0" collapsed="false">
      <c r="A17" s="26" t="s">
        <v>52</v>
      </c>
      <c r="B17" s="27" t="s">
        <v>17</v>
      </c>
      <c r="C17" s="28" t="s">
        <v>38</v>
      </c>
      <c r="D17" s="29" t="n">
        <v>0.15</v>
      </c>
      <c r="E17" s="30" t="n">
        <v>0</v>
      </c>
      <c r="F17" s="30" t="n">
        <v>63418</v>
      </c>
      <c r="G17" s="30" t="n">
        <v>0</v>
      </c>
      <c r="H17" s="30" t="n">
        <f aca="false">E17+F17+G17</f>
        <v>63418</v>
      </c>
      <c r="I17" s="30" t="n">
        <v>0</v>
      </c>
      <c r="J17" s="30" t="n">
        <v>5646</v>
      </c>
      <c r="K17" s="30" t="n">
        <v>0</v>
      </c>
      <c r="L17" s="30" t="n">
        <f aca="false">I17+J17+K17</f>
        <v>5646</v>
      </c>
      <c r="M17" s="31" t="n">
        <v>11.4</v>
      </c>
      <c r="N17" s="32" t="n">
        <v>0.4298</v>
      </c>
      <c r="O17" s="33" t="n">
        <v>0.2798</v>
      </c>
      <c r="P17" s="42" t="n">
        <v>-1</v>
      </c>
      <c r="Q17" s="28" t="n">
        <v>4</v>
      </c>
    </row>
    <row r="18" customFormat="false" ht="16.5" hidden="false" customHeight="true" outlineLevel="0" collapsed="false">
      <c r="A18" s="35" t="s">
        <v>53</v>
      </c>
      <c r="B18" s="36" t="s">
        <v>17</v>
      </c>
      <c r="C18" s="37" t="s">
        <v>38</v>
      </c>
      <c r="D18" s="38" t="n">
        <v>0.15</v>
      </c>
      <c r="E18" s="39" t="n">
        <v>7185</v>
      </c>
      <c r="F18" s="39" t="n">
        <v>17277</v>
      </c>
      <c r="G18" s="39" t="n">
        <v>30748.3</v>
      </c>
      <c r="H18" s="39" t="n">
        <f aca="false">E18+F18+G18</f>
        <v>55210.3</v>
      </c>
      <c r="I18" s="39" t="n">
        <v>465</v>
      </c>
      <c r="J18" s="39" t="n">
        <v>484</v>
      </c>
      <c r="K18" s="39" t="n">
        <v>595</v>
      </c>
      <c r="L18" s="39" t="n">
        <f aca="false">I18+J18+K18</f>
        <v>1544</v>
      </c>
      <c r="M18" s="40" t="n">
        <v>35.03</v>
      </c>
      <c r="N18" s="33" t="n">
        <v>0.3948</v>
      </c>
      <c r="O18" s="33" t="n">
        <v>0.2448</v>
      </c>
      <c r="P18" s="41" t="n">
        <v>0.229</v>
      </c>
      <c r="Q18" s="37" t="n">
        <v>5</v>
      </c>
    </row>
    <row r="19" customFormat="false" ht="19.5" hidden="false" customHeight="true" outlineLevel="0" collapsed="false">
      <c r="A19" s="46" t="s">
        <v>54</v>
      </c>
      <c r="B19" s="47"/>
      <c r="C19" s="47"/>
      <c r="D19" s="47"/>
      <c r="E19" s="48" t="n">
        <f aca="false">SUM(E3:E18)</f>
        <v>1538478.76</v>
      </c>
      <c r="F19" s="48" t="n">
        <f aca="false">SUM(F3:F18)</f>
        <v>1056300.73</v>
      </c>
      <c r="G19" s="48" t="n">
        <f aca="false">SUM(G3:G18)</f>
        <v>1063273.18</v>
      </c>
      <c r="H19" s="48" t="n">
        <f aca="false">SUM(H3:H18)</f>
        <v>3658052.67</v>
      </c>
      <c r="I19" s="48" t="n">
        <f aca="false">SUM(I3:I18)</f>
        <v>82028</v>
      </c>
      <c r="J19" s="48" t="n">
        <f aca="false">SUM(J3:J18)</f>
        <v>48007</v>
      </c>
      <c r="K19" s="48" t="n">
        <f aca="false">SUM(K3:K18)</f>
        <v>56790</v>
      </c>
      <c r="L19" s="48" t="n">
        <f aca="false">SUM(L3:L18)</f>
        <v>186825</v>
      </c>
      <c r="M19" s="49" t="n">
        <f aca="false">AVERAGE(M3:M18)</f>
        <v>17.7866666666667</v>
      </c>
      <c r="N19" s="50" t="n">
        <f aca="false">AVERAGE(N3:N18)</f>
        <v>0.45916</v>
      </c>
      <c r="O19" s="50" t="n">
        <f aca="false">AVERAGE(O3:O18)</f>
        <v>0.255826666666667</v>
      </c>
      <c r="P19" s="47"/>
      <c r="Q19" s="47"/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11" min="3" style="0" width="10"/>
    <col collapsed="false" customWidth="true" hidden="false" outlineLevel="0" max="13" min="12" style="0" width="12"/>
    <col collapsed="false" customWidth="true" hidden="false" outlineLevel="0" max="14" min="14" style="0" width="4"/>
  </cols>
  <sheetData>
    <row r="1" customFormat="false" ht="27.75" hidden="false" customHeight="true" outlineLevel="0" collapsed="false">
      <c r="A1" s="24" t="s">
        <v>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3.5" hidden="false" customHeight="true" outlineLevel="0" collapsed="false">
      <c r="A2" s="51" t="s">
        <v>56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4" customFormat="false" ht="21.75" hidden="false" customHeight="true" outlineLevel="0" collapsed="false">
      <c r="A4" s="52" t="s">
        <v>57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customFormat="false" ht="19.5" hidden="false" customHeight="true" outlineLevel="0" collapsed="false">
      <c r="A5" s="53" t="s">
        <v>3</v>
      </c>
      <c r="B5" s="25" t="s">
        <v>58</v>
      </c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54" t="s">
        <v>68</v>
      </c>
      <c r="M5" s="54" t="s">
        <v>69</v>
      </c>
    </row>
    <row r="6" customFormat="false" ht="16.5" hidden="false" customHeight="true" outlineLevel="0" collapsed="false">
      <c r="A6" s="55" t="s">
        <v>70</v>
      </c>
      <c r="B6" s="56"/>
      <c r="C6" s="57" t="n">
        <v>9256</v>
      </c>
      <c r="D6" s="57" t="n">
        <v>10076</v>
      </c>
      <c r="E6" s="57" t="n">
        <v>1460</v>
      </c>
      <c r="F6" s="57" t="n">
        <v>8070</v>
      </c>
      <c r="G6" s="57" t="n">
        <v>599111</v>
      </c>
      <c r="H6" s="57" t="n">
        <v>17666</v>
      </c>
      <c r="I6" s="57" t="n">
        <v>2673</v>
      </c>
      <c r="J6" s="57" t="n">
        <v>2916</v>
      </c>
      <c r="K6" s="57" t="n">
        <v>437981</v>
      </c>
      <c r="L6" s="58" t="n">
        <f aca="false">SUM(C6:K6)</f>
        <v>1089209</v>
      </c>
      <c r="M6" s="57" t="n">
        <f aca="false">L6/9</f>
        <v>121023.222222222</v>
      </c>
    </row>
    <row r="7" customFormat="false" ht="16.5" hidden="false" customHeight="true" outlineLevel="0" collapsed="false">
      <c r="A7" s="59" t="s">
        <v>71</v>
      </c>
      <c r="B7" s="60"/>
      <c r="C7" s="61" t="n">
        <v>497</v>
      </c>
      <c r="D7" s="61" t="n">
        <v>3776</v>
      </c>
      <c r="E7" s="61" t="n">
        <v>1460</v>
      </c>
      <c r="F7" s="61" t="n">
        <v>0</v>
      </c>
      <c r="G7" s="61" t="n">
        <v>143429</v>
      </c>
      <c r="H7" s="61" t="n">
        <v>5416</v>
      </c>
      <c r="I7" s="61" t="n">
        <v>2673</v>
      </c>
      <c r="J7" s="61" t="n">
        <v>2916</v>
      </c>
      <c r="K7" s="61" t="n">
        <v>112840</v>
      </c>
      <c r="L7" s="62" t="n">
        <f aca="false">SUM(C7:K7)</f>
        <v>273007</v>
      </c>
      <c r="M7" s="61" t="n">
        <f aca="false">L7/8</f>
        <v>34125.875</v>
      </c>
    </row>
    <row r="8" customFormat="false" ht="16.5" hidden="false" customHeight="true" outlineLevel="0" collapsed="false">
      <c r="A8" s="59" t="s">
        <v>72</v>
      </c>
      <c r="B8" s="60"/>
      <c r="C8" s="61" t="n">
        <v>8759</v>
      </c>
      <c r="D8" s="61" t="n">
        <v>6300</v>
      </c>
      <c r="E8" s="61" t="n">
        <v>0</v>
      </c>
      <c r="F8" s="61" t="n">
        <v>8070</v>
      </c>
      <c r="G8" s="61" t="n">
        <v>455682</v>
      </c>
      <c r="H8" s="61" t="n">
        <v>12249</v>
      </c>
      <c r="I8" s="61" t="n">
        <v>0</v>
      </c>
      <c r="J8" s="61" t="n">
        <v>0</v>
      </c>
      <c r="K8" s="61" t="n">
        <v>325141</v>
      </c>
      <c r="L8" s="62" t="n">
        <f aca="false">SUM(C8:K8)</f>
        <v>816201</v>
      </c>
      <c r="M8" s="61" t="n">
        <f aca="false">L8/6</f>
        <v>136033.5</v>
      </c>
    </row>
    <row r="9" customFormat="false" ht="16.5" hidden="false" customHeight="true" outlineLevel="0" collapsed="false">
      <c r="A9" s="63" t="s">
        <v>73</v>
      </c>
      <c r="B9" s="64"/>
      <c r="C9" s="65" t="n">
        <v>0</v>
      </c>
      <c r="D9" s="65" t="n">
        <v>8278</v>
      </c>
      <c r="E9" s="65" t="n">
        <v>1309</v>
      </c>
      <c r="F9" s="65" t="n">
        <v>2392</v>
      </c>
      <c r="G9" s="65" t="n">
        <v>0</v>
      </c>
      <c r="H9" s="65" t="n">
        <v>233</v>
      </c>
      <c r="I9" s="65" t="n">
        <v>1890</v>
      </c>
      <c r="J9" s="65" t="n">
        <v>1925</v>
      </c>
      <c r="K9" s="65" t="n">
        <v>0</v>
      </c>
      <c r="L9" s="66" t="n">
        <f aca="false">SUM(C9:K9)</f>
        <v>16027</v>
      </c>
      <c r="M9" s="65" t="n">
        <f aca="false">L9/6</f>
        <v>2671.16666666667</v>
      </c>
    </row>
    <row r="10" customFormat="false" ht="16.5" hidden="false" customHeight="true" outlineLevel="0" collapsed="false">
      <c r="A10" s="67" t="s">
        <v>74</v>
      </c>
      <c r="B10" s="68"/>
      <c r="C10" s="69"/>
      <c r="D10" s="69"/>
      <c r="E10" s="69"/>
      <c r="F10" s="69"/>
      <c r="G10" s="69"/>
      <c r="H10" s="69" t="n">
        <v>271460</v>
      </c>
      <c r="I10" s="69" t="n">
        <v>217902</v>
      </c>
      <c r="J10" s="69" t="n">
        <v>481454</v>
      </c>
      <c r="K10" s="69" t="n">
        <v>255107</v>
      </c>
      <c r="L10" s="70" t="n">
        <f aca="false">SUM(C10:K10)</f>
        <v>1225923</v>
      </c>
      <c r="M10" s="69" t="n">
        <f aca="false">L10/4</f>
        <v>306480.75</v>
      </c>
    </row>
    <row r="11" customFormat="false" ht="16.5" hidden="false" customHeight="true" outlineLevel="0" collapsed="false">
      <c r="A11" s="71" t="s">
        <v>75</v>
      </c>
      <c r="B11" s="72"/>
      <c r="C11" s="73" t="n">
        <v>9256</v>
      </c>
      <c r="D11" s="73" t="n">
        <v>10076</v>
      </c>
      <c r="E11" s="73" t="n">
        <v>1460</v>
      </c>
      <c r="F11" s="73" t="n">
        <v>8070</v>
      </c>
      <c r="G11" s="73" t="n">
        <v>599111</v>
      </c>
      <c r="H11" s="73" t="n">
        <v>289126</v>
      </c>
      <c r="I11" s="73" t="n">
        <v>220575</v>
      </c>
      <c r="J11" s="73" t="n">
        <v>484370</v>
      </c>
      <c r="K11" s="73" t="n">
        <v>693088</v>
      </c>
      <c r="L11" s="74" t="n">
        <f aca="false">SUM(C11:K11)</f>
        <v>2315132</v>
      </c>
      <c r="M11" s="73" t="n">
        <f aca="false">L11/9</f>
        <v>257236.888888889</v>
      </c>
    </row>
    <row r="12" customFormat="false" ht="13.5" hidden="false" customHeight="true" outlineLevel="0" collapsed="false">
      <c r="A12" s="75" t="s">
        <v>76</v>
      </c>
      <c r="C12" s="76" t="s">
        <v>59</v>
      </c>
      <c r="D12" s="76" t="s">
        <v>60</v>
      </c>
      <c r="E12" s="76" t="s">
        <v>61</v>
      </c>
      <c r="F12" s="76" t="s">
        <v>62</v>
      </c>
      <c r="G12" s="76" t="s">
        <v>63</v>
      </c>
      <c r="H12" s="76" t="s">
        <v>64</v>
      </c>
      <c r="I12" s="76" t="s">
        <v>65</v>
      </c>
      <c r="J12" s="76" t="s">
        <v>66</v>
      </c>
      <c r="K12" s="76" t="s">
        <v>67</v>
      </c>
    </row>
    <row r="14" customFormat="false" ht="21.75" hidden="false" customHeight="true" outlineLevel="0" collapsed="false">
      <c r="A14" s="52" t="s">
        <v>77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customFormat="false" ht="19.5" hidden="false" customHeight="true" outlineLevel="0" collapsed="false">
      <c r="A15" s="25" t="s">
        <v>78</v>
      </c>
      <c r="B15" s="25" t="s">
        <v>58</v>
      </c>
      <c r="C15" s="25" t="s">
        <v>79</v>
      </c>
      <c r="D15" s="25" t="s">
        <v>80</v>
      </c>
      <c r="E15" s="25" t="s">
        <v>81</v>
      </c>
      <c r="F15" s="25" t="s">
        <v>82</v>
      </c>
      <c r="G15" s="25" t="s">
        <v>83</v>
      </c>
      <c r="H15" s="25" t="s">
        <v>84</v>
      </c>
      <c r="I15" s="25" t="s">
        <v>85</v>
      </c>
      <c r="J15" s="25" t="s">
        <v>86</v>
      </c>
      <c r="K15" s="25" t="s">
        <v>87</v>
      </c>
      <c r="L15" s="25" t="s">
        <v>68</v>
      </c>
      <c r="M15" s="25" t="s">
        <v>69</v>
      </c>
    </row>
    <row r="16" customFormat="false" ht="16.5" hidden="false" customHeight="true" outlineLevel="0" collapsed="false">
      <c r="A16" s="55" t="s">
        <v>88</v>
      </c>
      <c r="B16" s="56"/>
      <c r="C16" s="57" t="n">
        <v>144</v>
      </c>
      <c r="D16" s="57" t="n">
        <v>324</v>
      </c>
      <c r="E16" s="57" t="n">
        <v>108</v>
      </c>
      <c r="F16" s="57" t="n">
        <v>66</v>
      </c>
      <c r="G16" s="57" t="n">
        <v>17068</v>
      </c>
      <c r="H16" s="57" t="n">
        <v>483</v>
      </c>
      <c r="I16" s="57" t="n">
        <v>198</v>
      </c>
      <c r="J16" s="57" t="n">
        <v>216</v>
      </c>
      <c r="K16" s="57" t="n">
        <v>12290</v>
      </c>
      <c r="L16" s="58" t="n">
        <f aca="false">SUM(C16:K16)</f>
        <v>30897</v>
      </c>
      <c r="M16" s="57" t="n">
        <f aca="false">L16/9</f>
        <v>3433</v>
      </c>
    </row>
    <row r="17" customFormat="false" ht="16.5" hidden="false" customHeight="true" outlineLevel="0" collapsed="false">
      <c r="A17" s="67" t="s">
        <v>89</v>
      </c>
      <c r="B17" s="68"/>
      <c r="C17" s="69"/>
      <c r="D17" s="69"/>
      <c r="E17" s="69"/>
      <c r="F17" s="69"/>
      <c r="G17" s="69"/>
      <c r="H17" s="69" t="n">
        <v>19671</v>
      </c>
      <c r="I17" s="69" t="n">
        <v>15790</v>
      </c>
      <c r="J17" s="69" t="n">
        <v>34888</v>
      </c>
      <c r="K17" s="69" t="n">
        <v>18486</v>
      </c>
      <c r="L17" s="70" t="n">
        <f aca="false">SUM(C17:K17)</f>
        <v>88835</v>
      </c>
      <c r="M17" s="69" t="n">
        <f aca="false">L17/4</f>
        <v>22208.75</v>
      </c>
    </row>
    <row r="18" customFormat="false" ht="16.5" hidden="false" customHeight="true" outlineLevel="0" collapsed="false">
      <c r="A18" s="71" t="s">
        <v>90</v>
      </c>
      <c r="B18" s="72"/>
      <c r="C18" s="73" t="n">
        <v>144</v>
      </c>
      <c r="D18" s="73" t="n">
        <v>324</v>
      </c>
      <c r="E18" s="73" t="n">
        <v>108</v>
      </c>
      <c r="F18" s="73" t="n">
        <v>66</v>
      </c>
      <c r="G18" s="73" t="n">
        <v>17068</v>
      </c>
      <c r="H18" s="73" t="n">
        <v>20154</v>
      </c>
      <c r="I18" s="73" t="n">
        <v>15988</v>
      </c>
      <c r="J18" s="73" t="n">
        <v>35104</v>
      </c>
      <c r="K18" s="73" t="n">
        <v>30776</v>
      </c>
      <c r="L18" s="74" t="n">
        <f aca="false">SUM(C18:K18)</f>
        <v>119732</v>
      </c>
      <c r="M18" s="73" t="n">
        <f aca="false">L18/9</f>
        <v>13303.5555555556</v>
      </c>
    </row>
    <row r="21" customFormat="false" ht="21.75" hidden="false" customHeight="true" outlineLevel="0" collapsed="false">
      <c r="A21" s="3" t="s">
        <v>91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8" hidden="false" customHeight="true" outlineLevel="0" collapsed="false">
      <c r="A22" s="77" t="s">
        <v>3</v>
      </c>
      <c r="B22" s="77"/>
      <c r="C22" s="77" t="s">
        <v>92</v>
      </c>
      <c r="D22" s="77" t="s">
        <v>93</v>
      </c>
      <c r="E22" s="77" t="s">
        <v>94</v>
      </c>
      <c r="F22" s="77" t="s">
        <v>95</v>
      </c>
      <c r="G22" s="77" t="s">
        <v>96</v>
      </c>
      <c r="H22" s="77" t="s">
        <v>97</v>
      </c>
      <c r="I22" s="77" t="s">
        <v>98</v>
      </c>
      <c r="J22" s="77" t="s">
        <v>99</v>
      </c>
      <c r="K22" s="77" t="s">
        <v>100</v>
      </c>
      <c r="L22" s="77" t="s">
        <v>101</v>
      </c>
    </row>
    <row r="23" customFormat="false" ht="16.5" hidden="false" customHeight="true" outlineLevel="0" collapsed="false">
      <c r="A23" s="55" t="s">
        <v>102</v>
      </c>
      <c r="B23" s="56"/>
      <c r="C23" s="78" t="n">
        <f aca="false">(D6-C6)/C6</f>
        <v>0.0885911840968021</v>
      </c>
      <c r="D23" s="78" t="n">
        <f aca="false">(E6-D6)/D6</f>
        <v>-0.855101230647082</v>
      </c>
      <c r="E23" s="78" t="n">
        <f aca="false">(F6-E6)/E6</f>
        <v>4.52739726027397</v>
      </c>
      <c r="F23" s="78" t="n">
        <f aca="false">(G6-F6)/F6</f>
        <v>73.2392812887237</v>
      </c>
      <c r="G23" s="78" t="n">
        <f aca="false">(H6-G6)/G6</f>
        <v>-0.970512976727184</v>
      </c>
      <c r="H23" s="78" t="n">
        <f aca="false">(I6-H6)/H6</f>
        <v>-0.848692403486924</v>
      </c>
      <c r="I23" s="78" t="n">
        <f aca="false">(J6-I6)/I6</f>
        <v>0.0909090909090909</v>
      </c>
      <c r="J23" s="78" t="n">
        <f aca="false">(K6-J6)/J6</f>
        <v>149.199245541838</v>
      </c>
      <c r="K23" s="79" t="str">
        <f aca="false">INDEX(C5:K5,MATCH(MAX(C23:J23),C23:J23,0)+1)</f>
        <v>22/2</v>
      </c>
      <c r="L23" s="80" t="str">
        <f aca="false">INDEX(C5:K5,MATCH(MIN(C23:J23),C23:J23,0)+1)</f>
        <v>1/2</v>
      </c>
    </row>
    <row r="26" customFormat="false" ht="24" hidden="false" customHeight="true" outlineLevel="0" collapsed="false">
      <c r="A26" s="81" t="s">
        <v>103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</row>
    <row r="27" customFormat="false" ht="12.75" hidden="false" customHeight="true" outlineLevel="0" collapsed="false">
      <c r="A27" s="82" t="s">
        <v>104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</row>
    <row r="28" customFormat="false" ht="19.5" hidden="false" customHeight="true" outlineLevel="0" collapsed="false">
      <c r="A28" s="25" t="s">
        <v>21</v>
      </c>
      <c r="B28" s="25" t="s">
        <v>105</v>
      </c>
      <c r="C28" s="25" t="s">
        <v>59</v>
      </c>
      <c r="D28" s="25" t="s">
        <v>60</v>
      </c>
      <c r="E28" s="25" t="s">
        <v>61</v>
      </c>
      <c r="F28" s="25" t="s">
        <v>62</v>
      </c>
      <c r="G28" s="25" t="s">
        <v>63</v>
      </c>
      <c r="H28" s="25" t="s">
        <v>64</v>
      </c>
      <c r="I28" s="25" t="s">
        <v>65</v>
      </c>
      <c r="J28" s="25" t="s">
        <v>66</v>
      </c>
      <c r="K28" s="25" t="s">
        <v>67</v>
      </c>
      <c r="L28" s="25" t="s">
        <v>9</v>
      </c>
    </row>
    <row r="29" customFormat="false" ht="19.5" hidden="false" customHeight="true" outlineLevel="0" collapsed="false">
      <c r="A29" s="83" t="s">
        <v>106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</row>
    <row r="30" customFormat="false" ht="15.75" hidden="false" customHeight="true" outlineLevel="0" collapsed="false">
      <c r="A30" s="84" t="s">
        <v>107</v>
      </c>
      <c r="B30" s="85" t="s">
        <v>108</v>
      </c>
      <c r="C30" s="86" t="n">
        <v>17586</v>
      </c>
      <c r="D30" s="86" t="n">
        <v>165</v>
      </c>
      <c r="E30" s="86" t="n">
        <v>55</v>
      </c>
      <c r="F30" s="86" t="n">
        <v>34</v>
      </c>
      <c r="G30" s="86" t="n">
        <v>8671</v>
      </c>
      <c r="H30" s="86" t="n">
        <v>355</v>
      </c>
      <c r="I30" s="86" t="n">
        <v>145</v>
      </c>
      <c r="J30" s="86" t="n">
        <v>159</v>
      </c>
      <c r="K30" s="86" t="n">
        <v>9026</v>
      </c>
      <c r="L30" s="87" t="n">
        <f aca="false">SUM(C30:K30)</f>
        <v>36196</v>
      </c>
    </row>
    <row r="31" customFormat="false" ht="13.5" hidden="false" customHeight="true" outlineLevel="0" collapsed="false">
      <c r="A31" s="88" t="s">
        <v>109</v>
      </c>
      <c r="B31" s="89"/>
      <c r="C31" s="90" t="s">
        <v>110</v>
      </c>
      <c r="D31" s="91" t="n">
        <f aca="false">IF(AND(C30&lt;&gt;0,C30&lt;&gt;"",D30&lt;&gt;0,D30&lt;&gt;""),(D30-C30)/C30,"")</f>
        <v>-0.990617536676902</v>
      </c>
      <c r="E31" s="91" t="n">
        <f aca="false">IF(AND(D30&lt;&gt;0,D30&lt;&gt;"",E30&lt;&gt;0,E30&lt;&gt;""),(E30-D30)/D30,"")</f>
        <v>-0.666666666666667</v>
      </c>
      <c r="F31" s="91" t="n">
        <f aca="false">IF(AND(E30&lt;&gt;0,E30&lt;&gt;"",F30&lt;&gt;0,F30&lt;&gt;""),(F30-E30)/E30,"")</f>
        <v>-0.381818181818182</v>
      </c>
      <c r="G31" s="91" t="n">
        <f aca="false">IF(AND(F30&lt;&gt;0,F30&lt;&gt;"",G30&lt;&gt;0,G30&lt;&gt;""),(G30-F30)/F30,"")</f>
        <v>254.029411764706</v>
      </c>
      <c r="H31" s="91" t="n">
        <f aca="false">IF(AND(G30&lt;&gt;0,G30&lt;&gt;"",H30&lt;&gt;0,H30&lt;&gt;""),(H30-G30)/G30,"")</f>
        <v>-0.959058932072425</v>
      </c>
      <c r="I31" s="91" t="n">
        <f aca="false">IF(AND(H30&lt;&gt;0,H30&lt;&gt;"",I30&lt;&gt;0,I30&lt;&gt;""),(I30-H30)/H30,"")</f>
        <v>-0.591549295774648</v>
      </c>
      <c r="J31" s="91" t="n">
        <f aca="false">IF(AND(I30&lt;&gt;0,I30&lt;&gt;"",J30&lt;&gt;0,J30&lt;&gt;""),(J30-I30)/I30,"")</f>
        <v>0.096551724137931</v>
      </c>
      <c r="K31" s="91" t="n">
        <f aca="false">IF(AND(J30&lt;&gt;0,J30&lt;&gt;"",K30&lt;&gt;0,K30&lt;&gt;""),(K30-J30)/J30,"")</f>
        <v>55.7672955974843</v>
      </c>
      <c r="L31" s="92" t="n">
        <f aca="false">IF(C30&lt;&gt;0,(AVERAGE(D30:G30)-C30)/C30,"")</f>
        <v>-0.873123507335381</v>
      </c>
    </row>
    <row r="32" customFormat="false" ht="15.75" hidden="false" customHeight="true" outlineLevel="0" collapsed="false">
      <c r="A32" s="93" t="s">
        <v>111</v>
      </c>
      <c r="B32" s="94" t="s">
        <v>108</v>
      </c>
      <c r="C32" s="95" t="n">
        <v>348</v>
      </c>
      <c r="D32" s="95" t="n">
        <v>12</v>
      </c>
      <c r="E32" s="95" t="n">
        <v>4</v>
      </c>
      <c r="F32" s="95" t="n">
        <v>2</v>
      </c>
      <c r="G32" s="95" t="n">
        <v>644</v>
      </c>
      <c r="H32" s="95" t="n">
        <v>38</v>
      </c>
      <c r="I32" s="95" t="n">
        <v>16</v>
      </c>
      <c r="J32" s="95" t="n">
        <v>17</v>
      </c>
      <c r="K32" s="95" t="n">
        <v>975</v>
      </c>
      <c r="L32" s="96" t="n">
        <f aca="false">SUM(C32:K32)</f>
        <v>2056</v>
      </c>
    </row>
    <row r="33" customFormat="false" ht="13.5" hidden="false" customHeight="true" outlineLevel="0" collapsed="false">
      <c r="A33" s="88" t="s">
        <v>109</v>
      </c>
      <c r="B33" s="89"/>
      <c r="C33" s="90" t="s">
        <v>110</v>
      </c>
      <c r="D33" s="91" t="n">
        <f aca="false">IF(AND(C32&lt;&gt;0,C32&lt;&gt;"",D32&lt;&gt;0,D32&lt;&gt;""),(D32-C32)/C32,"")</f>
        <v>-0.96551724137931</v>
      </c>
      <c r="E33" s="91" t="n">
        <f aca="false">IF(AND(D32&lt;&gt;0,D32&lt;&gt;"",E32&lt;&gt;0,E32&lt;&gt;""),(E32-D32)/D32,"")</f>
        <v>-0.666666666666667</v>
      </c>
      <c r="F33" s="91" t="n">
        <f aca="false">IF(AND(E32&lt;&gt;0,E32&lt;&gt;"",F32&lt;&gt;0,F32&lt;&gt;""),(F32-E32)/E32,"")</f>
        <v>-0.5</v>
      </c>
      <c r="G33" s="91" t="n">
        <f aca="false">IF(AND(F32&lt;&gt;0,F32&lt;&gt;"",G32&lt;&gt;0,G32&lt;&gt;""),(G32-F32)/F32,"")</f>
        <v>321</v>
      </c>
      <c r="H33" s="91" t="n">
        <f aca="false">IF(AND(G32&lt;&gt;0,G32&lt;&gt;"",H32&lt;&gt;0,H32&lt;&gt;""),(H32-G32)/G32,"")</f>
        <v>-0.940993788819876</v>
      </c>
      <c r="I33" s="91" t="n">
        <f aca="false">IF(AND(H32&lt;&gt;0,H32&lt;&gt;"",I32&lt;&gt;0,I32&lt;&gt;""),(I32-H32)/H32,"")</f>
        <v>-0.578947368421053</v>
      </c>
      <c r="J33" s="91" t="n">
        <f aca="false">IF(AND(I32&lt;&gt;0,I32&lt;&gt;"",J32&lt;&gt;0,J32&lt;&gt;""),(J32-I32)/I32,"")</f>
        <v>0.0625</v>
      </c>
      <c r="K33" s="91" t="n">
        <f aca="false">IF(AND(J32&lt;&gt;0,J32&lt;&gt;"",K32&lt;&gt;0,K32&lt;&gt;""),(K32-J32)/J32,"")</f>
        <v>56.3529411764706</v>
      </c>
      <c r="L33" s="92" t="n">
        <f aca="false">IF(C32&lt;&gt;0,(AVERAGE(D32:G32)-C32)/C32,"")</f>
        <v>-0.524425287356322</v>
      </c>
    </row>
    <row r="34" customFormat="false" ht="15.75" hidden="false" customHeight="true" outlineLevel="0" collapsed="false">
      <c r="A34" s="84" t="s">
        <v>112</v>
      </c>
      <c r="B34" s="85" t="s">
        <v>108</v>
      </c>
      <c r="C34" s="86" t="n">
        <v>960</v>
      </c>
      <c r="D34" s="86" t="n">
        <v>1</v>
      </c>
      <c r="E34" s="86" t="n">
        <v>0</v>
      </c>
      <c r="F34" s="86" t="n">
        <v>0</v>
      </c>
      <c r="G34" s="86" t="n">
        <v>29</v>
      </c>
      <c r="H34" s="86" t="n">
        <v>4</v>
      </c>
      <c r="I34" s="86" t="n">
        <v>2</v>
      </c>
      <c r="J34" s="86" t="n">
        <v>2</v>
      </c>
      <c r="K34" s="86" t="n">
        <v>98</v>
      </c>
      <c r="L34" s="87" t="n">
        <f aca="false">SUM(C34:K34)</f>
        <v>1096</v>
      </c>
    </row>
    <row r="35" customFormat="false" ht="13.5" hidden="false" customHeight="true" outlineLevel="0" collapsed="false">
      <c r="A35" s="88" t="s">
        <v>109</v>
      </c>
      <c r="B35" s="89"/>
      <c r="C35" s="90" t="s">
        <v>110</v>
      </c>
      <c r="D35" s="91" t="n">
        <f aca="false">IF(AND(C34&lt;&gt;0,C34&lt;&gt;"",D34&lt;&gt;0,D34&lt;&gt;""),(D34-C34)/C34,"")</f>
        <v>-0.998958333333333</v>
      </c>
      <c r="E35" s="91" t="str">
        <f aca="false">IF(AND(D34&lt;&gt;0,D34&lt;&gt;"",E34&lt;&gt;0,E34&lt;&gt;""),(E34-D34)/D34,"")</f>
        <v/>
      </c>
      <c r="F35" s="91" t="str">
        <f aca="false">IF(AND(E34&lt;&gt;0,E34&lt;&gt;"",F34&lt;&gt;0,F34&lt;&gt;""),(F34-E34)/E34,"")</f>
        <v/>
      </c>
      <c r="G35" s="91" t="str">
        <f aca="false">IF(AND(F34&lt;&gt;0,F34&lt;&gt;"",G34&lt;&gt;0,G34&lt;&gt;""),(G34-F34)/F34,"")</f>
        <v/>
      </c>
      <c r="H35" s="91" t="n">
        <f aca="false">IF(AND(G34&lt;&gt;0,G34&lt;&gt;"",H34&lt;&gt;0,H34&lt;&gt;""),(H34-G34)/G34,"")</f>
        <v>-0.862068965517241</v>
      </c>
      <c r="I35" s="91" t="n">
        <f aca="false">IF(AND(H34&lt;&gt;0,H34&lt;&gt;"",I34&lt;&gt;0,I34&lt;&gt;""),(I34-H34)/H34,"")</f>
        <v>-0.5</v>
      </c>
      <c r="J35" s="91" t="n">
        <f aca="false">IF(AND(I34&lt;&gt;0,I34&lt;&gt;"",J34&lt;&gt;0,J34&lt;&gt;""),(J34-I34)/I34,"")</f>
        <v>0</v>
      </c>
      <c r="K35" s="91" t="n">
        <f aca="false">IF(AND(J34&lt;&gt;0,J34&lt;&gt;"",K34&lt;&gt;0,K34&lt;&gt;""),(K34-J34)/J34,"")</f>
        <v>48</v>
      </c>
      <c r="L35" s="92" t="n">
        <f aca="false">IF(C34&lt;&gt;0,(AVERAGE(D34:G34)-C34)/C34,"")</f>
        <v>-0.9921875</v>
      </c>
    </row>
    <row r="36" customFormat="false" ht="15.75" hidden="false" customHeight="true" outlineLevel="0" collapsed="false">
      <c r="A36" s="93" t="s">
        <v>113</v>
      </c>
      <c r="B36" s="94" t="s">
        <v>108</v>
      </c>
      <c r="C36" s="95" t="n">
        <v>930</v>
      </c>
      <c r="D36" s="95" t="n">
        <v>19</v>
      </c>
      <c r="E36" s="95" t="n">
        <v>6</v>
      </c>
      <c r="F36" s="95" t="n">
        <v>4</v>
      </c>
      <c r="G36" s="95" t="n">
        <v>1014</v>
      </c>
      <c r="H36" s="95"/>
      <c r="I36" s="95"/>
      <c r="J36" s="95"/>
      <c r="K36" s="95"/>
      <c r="L36" s="96" t="n">
        <f aca="false">SUM(C36:K36)</f>
        <v>1973</v>
      </c>
    </row>
    <row r="37" customFormat="false" ht="13.5" hidden="false" customHeight="true" outlineLevel="0" collapsed="false">
      <c r="A37" s="88" t="s">
        <v>109</v>
      </c>
      <c r="B37" s="89"/>
      <c r="C37" s="90" t="s">
        <v>110</v>
      </c>
      <c r="D37" s="91" t="n">
        <f aca="false">IF(AND(C36&lt;&gt;0,C36&lt;&gt;"",D36&lt;&gt;0,D36&lt;&gt;""),(D36-C36)/C36,"")</f>
        <v>-0.979569892473118</v>
      </c>
      <c r="E37" s="91" t="n">
        <f aca="false">IF(AND(D36&lt;&gt;0,D36&lt;&gt;"",E36&lt;&gt;0,E36&lt;&gt;""),(E36-D36)/D36,"")</f>
        <v>-0.68421052631579</v>
      </c>
      <c r="F37" s="91" t="n">
        <f aca="false">IF(AND(E36&lt;&gt;0,E36&lt;&gt;"",F36&lt;&gt;0,F36&lt;&gt;""),(F36-E36)/E36,"")</f>
        <v>-0.333333333333333</v>
      </c>
      <c r="G37" s="91" t="n">
        <f aca="false">IF(AND(F36&lt;&gt;0,F36&lt;&gt;"",G36&lt;&gt;0,G36&lt;&gt;""),(G36-F36)/F36,"")</f>
        <v>252.5</v>
      </c>
      <c r="H37" s="91" t="str">
        <f aca="false">IF(AND(G36&lt;&gt;0,G36&lt;&gt;"",H36&lt;&gt;0,H36&lt;&gt;""),(H36-G36)/G36,"")</f>
        <v/>
      </c>
      <c r="I37" s="91" t="str">
        <f aca="false">IF(AND(H36&lt;&gt;0,H36&lt;&gt;"",I36&lt;&gt;0,I36&lt;&gt;""),(I36-H36)/H36,"")</f>
        <v/>
      </c>
      <c r="J37" s="91" t="str">
        <f aca="false">IF(AND(I36&lt;&gt;0,I36&lt;&gt;"",J36&lt;&gt;0,J36&lt;&gt;""),(J36-I36)/I36,"")</f>
        <v/>
      </c>
      <c r="K37" s="91" t="str">
        <f aca="false">IF(AND(J36&lt;&gt;0,J36&lt;&gt;"",K36&lt;&gt;0,K36&lt;&gt;""),(K36-J36)/J36,"")</f>
        <v/>
      </c>
      <c r="L37" s="92" t="n">
        <f aca="false">IF(C36&lt;&gt;0,(AVERAGE(D36:G36)-C36)/C36,"")</f>
        <v>-0.719623655913979</v>
      </c>
    </row>
    <row r="38" customFormat="false" ht="15.75" hidden="false" customHeight="true" outlineLevel="0" collapsed="false">
      <c r="A38" s="84" t="s">
        <v>114</v>
      </c>
      <c r="B38" s="85" t="s">
        <v>108</v>
      </c>
      <c r="C38" s="86"/>
      <c r="D38" s="86" t="n">
        <v>21</v>
      </c>
      <c r="E38" s="86" t="n">
        <v>7</v>
      </c>
      <c r="F38" s="86" t="n">
        <v>4</v>
      </c>
      <c r="G38" s="86" t="n">
        <v>1096</v>
      </c>
      <c r="H38" s="86"/>
      <c r="I38" s="86"/>
      <c r="J38" s="86"/>
      <c r="K38" s="86"/>
      <c r="L38" s="87" t="n">
        <f aca="false">SUM(C38:K38)</f>
        <v>1128</v>
      </c>
    </row>
    <row r="39" customFormat="false" ht="13.5" hidden="false" customHeight="true" outlineLevel="0" collapsed="false">
      <c r="A39" s="88" t="s">
        <v>109</v>
      </c>
      <c r="B39" s="89"/>
      <c r="C39" s="90" t="s">
        <v>110</v>
      </c>
      <c r="D39" s="91" t="str">
        <f aca="false">IF(AND(C38&lt;&gt;0,C38&lt;&gt;"",D38&lt;&gt;0,D38&lt;&gt;""),(D38-C38)/C38,"")</f>
        <v/>
      </c>
      <c r="E39" s="91" t="n">
        <f aca="false">IF(AND(D38&lt;&gt;0,D38&lt;&gt;"",E38&lt;&gt;0,E38&lt;&gt;""),(E38-D38)/D38,"")</f>
        <v>-0.666666666666667</v>
      </c>
      <c r="F39" s="91" t="n">
        <f aca="false">IF(AND(E38&lt;&gt;0,E38&lt;&gt;"",F38&lt;&gt;0,F38&lt;&gt;""),(F38-E38)/E38,"")</f>
        <v>-0.428571428571429</v>
      </c>
      <c r="G39" s="91" t="n">
        <f aca="false">IF(AND(F38&lt;&gt;0,F38&lt;&gt;"",G38&lt;&gt;0,G38&lt;&gt;""),(G38-F38)/F38,"")</f>
        <v>273</v>
      </c>
      <c r="H39" s="91" t="str">
        <f aca="false">IF(AND(G38&lt;&gt;0,G38&lt;&gt;"",H38&lt;&gt;0,H38&lt;&gt;""),(H38-G38)/G38,"")</f>
        <v/>
      </c>
      <c r="I39" s="91" t="str">
        <f aca="false">IF(AND(H38&lt;&gt;0,H38&lt;&gt;"",I38&lt;&gt;0,I38&lt;&gt;""),(I38-H38)/H38,"")</f>
        <v/>
      </c>
      <c r="J39" s="91" t="str">
        <f aca="false">IF(AND(I38&lt;&gt;0,I38&lt;&gt;"",J38&lt;&gt;0,J38&lt;&gt;""),(J38-I38)/I38,"")</f>
        <v/>
      </c>
      <c r="K39" s="91" t="str">
        <f aca="false">IF(AND(J38&lt;&gt;0,J38&lt;&gt;"",K38&lt;&gt;0,K38&lt;&gt;""),(K38-J38)/J38,"")</f>
        <v/>
      </c>
      <c r="L39" s="92" t="str">
        <f aca="false">IF(C38&lt;&gt;0,(AVERAGE(D38:G38)-C38)/C38,"")</f>
        <v/>
      </c>
    </row>
    <row r="40" customFormat="false" ht="15.75" hidden="false" customHeight="true" outlineLevel="0" collapsed="false">
      <c r="A40" s="93" t="s">
        <v>115</v>
      </c>
      <c r="B40" s="94" t="s">
        <v>108</v>
      </c>
      <c r="C40" s="95"/>
      <c r="D40" s="95" t="n">
        <v>104</v>
      </c>
      <c r="E40" s="95" t="n">
        <v>35</v>
      </c>
      <c r="F40" s="95" t="n">
        <v>21</v>
      </c>
      <c r="G40" s="95" t="n">
        <v>5486</v>
      </c>
      <c r="H40" s="95"/>
      <c r="I40" s="95"/>
      <c r="J40" s="95"/>
      <c r="K40" s="95"/>
      <c r="L40" s="96" t="n">
        <f aca="false">SUM(C40:K40)</f>
        <v>5646</v>
      </c>
    </row>
    <row r="41" customFormat="false" ht="13.5" hidden="false" customHeight="true" outlineLevel="0" collapsed="false">
      <c r="A41" s="88" t="s">
        <v>109</v>
      </c>
      <c r="B41" s="89"/>
      <c r="C41" s="90" t="s">
        <v>110</v>
      </c>
      <c r="D41" s="91" t="str">
        <f aca="false">IF(AND(C40&lt;&gt;0,C40&lt;&gt;"",D40&lt;&gt;0,D40&lt;&gt;""),(D40-C40)/C40,"")</f>
        <v/>
      </c>
      <c r="E41" s="91" t="n">
        <f aca="false">IF(AND(D40&lt;&gt;0,D40&lt;&gt;"",E40&lt;&gt;0,E40&lt;&gt;""),(E40-D40)/D40,"")</f>
        <v>-0.663461538461538</v>
      </c>
      <c r="F41" s="91" t="n">
        <f aca="false">IF(AND(E40&lt;&gt;0,E40&lt;&gt;"",F40&lt;&gt;0,F40&lt;&gt;""),(F40-E40)/E40,"")</f>
        <v>-0.4</v>
      </c>
      <c r="G41" s="91" t="n">
        <f aca="false">IF(AND(F40&lt;&gt;0,F40&lt;&gt;"",G40&lt;&gt;0,G40&lt;&gt;""),(G40-F40)/F40,"")</f>
        <v>260.238095238095</v>
      </c>
      <c r="H41" s="91" t="str">
        <f aca="false">IF(AND(G40&lt;&gt;0,G40&lt;&gt;"",H40&lt;&gt;0,H40&lt;&gt;""),(H40-G40)/G40,"")</f>
        <v/>
      </c>
      <c r="I41" s="91" t="str">
        <f aca="false">IF(AND(H40&lt;&gt;0,H40&lt;&gt;"",I40&lt;&gt;0,I40&lt;&gt;""),(I40-H40)/H40,"")</f>
        <v/>
      </c>
      <c r="J41" s="91" t="str">
        <f aca="false">IF(AND(I40&lt;&gt;0,I40&lt;&gt;"",J40&lt;&gt;0,J40&lt;&gt;""),(J40-I40)/I40,"")</f>
        <v/>
      </c>
      <c r="K41" s="91" t="str">
        <f aca="false">IF(AND(J40&lt;&gt;0,J40&lt;&gt;"",K40&lt;&gt;0,K40&lt;&gt;""),(K40-J40)/J40,"")</f>
        <v/>
      </c>
      <c r="L41" s="92" t="str">
        <f aca="false">IF(C40&lt;&gt;0,(AVERAGE(D40:G40)-C40)/C40,"")</f>
        <v/>
      </c>
    </row>
    <row r="42" customFormat="false" ht="15.75" hidden="false" customHeight="true" outlineLevel="0" collapsed="false">
      <c r="A42" s="84" t="s">
        <v>116</v>
      </c>
      <c r="B42" s="85" t="s">
        <v>108</v>
      </c>
      <c r="C42" s="86" t="n">
        <v>465</v>
      </c>
      <c r="D42" s="86" t="n">
        <v>9</v>
      </c>
      <c r="E42" s="86" t="n">
        <v>3</v>
      </c>
      <c r="F42" s="86" t="n">
        <v>2</v>
      </c>
      <c r="G42" s="86" t="n">
        <v>470</v>
      </c>
      <c r="H42" s="86" t="n">
        <v>22</v>
      </c>
      <c r="I42" s="86" t="n">
        <v>9</v>
      </c>
      <c r="J42" s="86" t="n">
        <v>10</v>
      </c>
      <c r="K42" s="86" t="n">
        <v>555</v>
      </c>
      <c r="L42" s="87" t="n">
        <f aca="false">SUM(C42:K42)</f>
        <v>1545</v>
      </c>
    </row>
    <row r="43" customFormat="false" ht="13.5" hidden="false" customHeight="true" outlineLevel="0" collapsed="false">
      <c r="A43" s="88" t="s">
        <v>109</v>
      </c>
      <c r="B43" s="89"/>
      <c r="C43" s="90" t="s">
        <v>110</v>
      </c>
      <c r="D43" s="91" t="n">
        <f aca="false">IF(AND(C42&lt;&gt;0,C42&lt;&gt;"",D42&lt;&gt;0,D42&lt;&gt;""),(D42-C42)/C42,"")</f>
        <v>-0.980645161290323</v>
      </c>
      <c r="E43" s="91" t="n">
        <f aca="false">IF(AND(D42&lt;&gt;0,D42&lt;&gt;"",E42&lt;&gt;0,E42&lt;&gt;""),(E42-D42)/D42,"")</f>
        <v>-0.666666666666667</v>
      </c>
      <c r="F43" s="91" t="n">
        <f aca="false">IF(AND(E42&lt;&gt;0,E42&lt;&gt;"",F42&lt;&gt;0,F42&lt;&gt;""),(F42-E42)/E42,"")</f>
        <v>-0.333333333333333</v>
      </c>
      <c r="G43" s="91" t="n">
        <f aca="false">IF(AND(F42&lt;&gt;0,F42&lt;&gt;"",G42&lt;&gt;0,G42&lt;&gt;""),(G42-F42)/F42,"")</f>
        <v>234</v>
      </c>
      <c r="H43" s="91" t="n">
        <f aca="false">IF(AND(G42&lt;&gt;0,G42&lt;&gt;"",H42&lt;&gt;0,H42&lt;&gt;""),(H42-G42)/G42,"")</f>
        <v>-0.953191489361702</v>
      </c>
      <c r="I43" s="91" t="n">
        <f aca="false">IF(AND(H42&lt;&gt;0,H42&lt;&gt;"",I42&lt;&gt;0,I42&lt;&gt;""),(I42-H42)/H42,"")</f>
        <v>-0.590909090909091</v>
      </c>
      <c r="J43" s="91" t="n">
        <f aca="false">IF(AND(I42&lt;&gt;0,I42&lt;&gt;"",J42&lt;&gt;0,J42&lt;&gt;""),(J42-I42)/I42,"")</f>
        <v>0.111111111111111</v>
      </c>
      <c r="K43" s="91" t="n">
        <f aca="false">IF(AND(J42&lt;&gt;0,J42&lt;&gt;"",K42&lt;&gt;0,K42&lt;&gt;""),(K42-J42)/J42,"")</f>
        <v>54.5</v>
      </c>
      <c r="L43" s="92" t="n">
        <f aca="false">IF(C42&lt;&gt;0,(AVERAGE(D42:G42)-C42)/C42,"")</f>
        <v>-0.739784946236559</v>
      </c>
    </row>
    <row r="44" customFormat="false" ht="15.75" hidden="false" customHeight="true" outlineLevel="0" collapsed="false">
      <c r="A44" s="93" t="s">
        <v>117</v>
      </c>
      <c r="B44" s="94" t="s">
        <v>108</v>
      </c>
      <c r="C44" s="95"/>
      <c r="D44" s="95"/>
      <c r="E44" s="95"/>
      <c r="F44" s="95"/>
      <c r="G44" s="95"/>
      <c r="H44" s="95" t="n">
        <v>58</v>
      </c>
      <c r="I44" s="95" t="n">
        <v>24</v>
      </c>
      <c r="J44" s="95" t="n">
        <v>26</v>
      </c>
      <c r="K44" s="95" t="n">
        <v>1474</v>
      </c>
      <c r="L44" s="96" t="n">
        <f aca="false">SUM(C44:K44)</f>
        <v>1582</v>
      </c>
    </row>
    <row r="45" customFormat="false" ht="13.5" hidden="false" customHeight="true" outlineLevel="0" collapsed="false">
      <c r="A45" s="88" t="s">
        <v>109</v>
      </c>
      <c r="B45" s="89"/>
      <c r="C45" s="90" t="s">
        <v>110</v>
      </c>
      <c r="D45" s="91" t="str">
        <f aca="false">IF(AND(C44&lt;&gt;0,C44&lt;&gt;"",D44&lt;&gt;0,D44&lt;&gt;""),(D44-C44)/C44,"")</f>
        <v/>
      </c>
      <c r="E45" s="91" t="str">
        <f aca="false">IF(AND(D44&lt;&gt;0,D44&lt;&gt;"",E44&lt;&gt;0,E44&lt;&gt;""),(E44-D44)/D44,"")</f>
        <v/>
      </c>
      <c r="F45" s="91" t="str">
        <f aca="false">IF(AND(E44&lt;&gt;0,E44&lt;&gt;"",F44&lt;&gt;0,F44&lt;&gt;""),(F44-E44)/E44,"")</f>
        <v/>
      </c>
      <c r="G45" s="91" t="str">
        <f aca="false">IF(AND(F44&lt;&gt;0,F44&lt;&gt;"",G44&lt;&gt;0,G44&lt;&gt;""),(G44-F44)/F44,"")</f>
        <v/>
      </c>
      <c r="H45" s="91" t="str">
        <f aca="false">IF(AND(G44&lt;&gt;0,G44&lt;&gt;"",H44&lt;&gt;0,H44&lt;&gt;""),(H44-G44)/G44,"")</f>
        <v/>
      </c>
      <c r="I45" s="91" t="n">
        <f aca="false">IF(AND(H44&lt;&gt;0,H44&lt;&gt;"",I44&lt;&gt;0,I44&lt;&gt;""),(I44-H44)/H44,"")</f>
        <v>-0.586206896551724</v>
      </c>
      <c r="J45" s="91" t="n">
        <f aca="false">IF(AND(I44&lt;&gt;0,I44&lt;&gt;"",J44&lt;&gt;0,J44&lt;&gt;""),(J44-I44)/I44,"")</f>
        <v>0.0833333333333333</v>
      </c>
      <c r="K45" s="91" t="n">
        <f aca="false">IF(AND(J44&lt;&gt;0,J44&lt;&gt;"",K44&lt;&gt;0,K44&lt;&gt;""),(K44-J44)/J44,"")</f>
        <v>55.6923076923077</v>
      </c>
      <c r="L45" s="92" t="str">
        <f aca="false">IF(C44&lt;&gt;0,(AVERAGE(D44:G44)-C44)/C44,"")</f>
        <v/>
      </c>
    </row>
    <row r="46" customFormat="false" ht="18" hidden="false" customHeight="true" outlineLevel="0" collapsed="false">
      <c r="A46" s="97" t="s">
        <v>118</v>
      </c>
      <c r="B46" s="98"/>
      <c r="C46" s="48" t="n">
        <f aca="false">C30+C32+C34+C36+C38+C40+C42+C44</f>
        <v>20289</v>
      </c>
      <c r="D46" s="48" t="n">
        <f aca="false">D30+D32+D34+D36+D38+D40+D42+D44</f>
        <v>331</v>
      </c>
      <c r="E46" s="48" t="n">
        <f aca="false">E30+E32+E34+E36+E38+E40+E42+E44</f>
        <v>110</v>
      </c>
      <c r="F46" s="48" t="n">
        <f aca="false">F30+F32+F34+F36+F38+F40+F42+F44</f>
        <v>67</v>
      </c>
      <c r="G46" s="48" t="n">
        <f aca="false">G30+G32+G34+G36+G38+G40+G42+G44</f>
        <v>17410</v>
      </c>
      <c r="H46" s="48" t="n">
        <f aca="false">H30+H32+H34+H36+H38+H40+H42+H44</f>
        <v>477</v>
      </c>
      <c r="I46" s="48" t="n">
        <f aca="false">I30+I32+I34+I36+I38+I40+I42+I44</f>
        <v>196</v>
      </c>
      <c r="J46" s="48" t="n">
        <f aca="false">J30+J32+J34+J36+J38+J40+J42+J44</f>
        <v>214</v>
      </c>
      <c r="K46" s="48" t="n">
        <f aca="false">K30+K32+K34+K36+K38+K40+K42+K44</f>
        <v>12128</v>
      </c>
      <c r="L46" s="48" t="n">
        <f aca="false">SUM(C46:K46)</f>
        <v>51222</v>
      </c>
    </row>
    <row r="48" customFormat="false" ht="19.5" hidden="false" customHeight="true" outlineLevel="0" collapsed="false">
      <c r="A48" s="99" t="s">
        <v>119</v>
      </c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</row>
    <row r="49" customFormat="false" ht="15.75" hidden="false" customHeight="true" outlineLevel="0" collapsed="false">
      <c r="A49" s="100" t="s">
        <v>120</v>
      </c>
      <c r="B49" s="101" t="s">
        <v>89</v>
      </c>
      <c r="C49" s="69" t="n">
        <v>19412</v>
      </c>
      <c r="D49" s="69" t="n">
        <v>1006</v>
      </c>
      <c r="E49" s="69" t="n">
        <v>1006</v>
      </c>
      <c r="F49" s="69" t="n">
        <v>1006</v>
      </c>
      <c r="G49" s="69" t="n">
        <v>1006</v>
      </c>
      <c r="H49" s="69" t="n">
        <v>2444</v>
      </c>
      <c r="I49" s="69" t="n">
        <v>1962</v>
      </c>
      <c r="J49" s="69" t="n">
        <v>4335</v>
      </c>
      <c r="K49" s="69" t="n">
        <v>2297</v>
      </c>
      <c r="L49" s="70" t="n">
        <f aca="false">SUM(C49:K49)</f>
        <v>34474</v>
      </c>
    </row>
    <row r="50" customFormat="false" ht="13.5" hidden="false" customHeight="true" outlineLevel="0" collapsed="false">
      <c r="A50" s="102" t="s">
        <v>109</v>
      </c>
      <c r="B50" s="103"/>
      <c r="C50" s="104" t="s">
        <v>110</v>
      </c>
      <c r="D50" s="105" t="n">
        <f aca="false">IF(AND(C49&lt;&gt;0,C49&lt;&gt;"",D49&lt;&gt;0,D49&lt;&gt;""),(D49-C49)/C49,"")</f>
        <v>-0.948176385740779</v>
      </c>
      <c r="E50" s="105" t="n">
        <f aca="false">IF(AND(D49&lt;&gt;0,D49&lt;&gt;"",E49&lt;&gt;0,E49&lt;&gt;""),(E49-D49)/D49,"")</f>
        <v>0</v>
      </c>
      <c r="F50" s="105" t="n">
        <f aca="false">IF(AND(E49&lt;&gt;0,E49&lt;&gt;"",F49&lt;&gt;0,F49&lt;&gt;""),(F49-E49)/E49,"")</f>
        <v>0</v>
      </c>
      <c r="G50" s="105" t="n">
        <f aca="false">IF(AND(F49&lt;&gt;0,F49&lt;&gt;"",G49&lt;&gt;0,G49&lt;&gt;""),(G49-F49)/F49,"")</f>
        <v>0</v>
      </c>
      <c r="H50" s="105" t="n">
        <f aca="false">IF(AND(G49&lt;&gt;0,G49&lt;&gt;"",H49&lt;&gt;0,H49&lt;&gt;""),(H49-G49)/G49,"")</f>
        <v>1.42942345924453</v>
      </c>
      <c r="I50" s="105" t="n">
        <f aca="false">IF(AND(H49&lt;&gt;0,H49&lt;&gt;"",I49&lt;&gt;0,I49&lt;&gt;""),(I49-H49)/H49,"")</f>
        <v>-0.19721767594108</v>
      </c>
      <c r="J50" s="105" t="n">
        <f aca="false">IF(AND(I49&lt;&gt;0,I49&lt;&gt;"",J49&lt;&gt;0,J49&lt;&gt;""),(J49-I49)/I49,"")</f>
        <v>1.20948012232416</v>
      </c>
      <c r="K50" s="105" t="n">
        <f aca="false">IF(AND(J49&lt;&gt;0,J49&lt;&gt;"",K49&lt;&gt;0,K49&lt;&gt;""),(K49-J49)/J49,"")</f>
        <v>-0.470126874279123</v>
      </c>
      <c r="L50" s="106" t="n">
        <f aca="false">IF(C49&lt;&gt;0,(AVERAGE(D49:G49)-C49)/C49,"")</f>
        <v>-0.948176385740779</v>
      </c>
    </row>
    <row r="51" customFormat="false" ht="15.75" hidden="false" customHeight="true" outlineLevel="0" collapsed="false">
      <c r="A51" s="107" t="s">
        <v>121</v>
      </c>
      <c r="B51" s="94" t="s">
        <v>89</v>
      </c>
      <c r="C51" s="108" t="n">
        <v>26996</v>
      </c>
      <c r="D51" s="108" t="n">
        <v>3594</v>
      </c>
      <c r="E51" s="108" t="n">
        <v>3594</v>
      </c>
      <c r="F51" s="108" t="n">
        <v>3594</v>
      </c>
      <c r="G51" s="108" t="n">
        <v>3594</v>
      </c>
      <c r="H51" s="108" t="n">
        <v>4327</v>
      </c>
      <c r="I51" s="108" t="n">
        <v>3473</v>
      </c>
      <c r="J51" s="108" t="n">
        <v>7674</v>
      </c>
      <c r="K51" s="108" t="n">
        <v>4066</v>
      </c>
      <c r="L51" s="109" t="n">
        <f aca="false">SUM(C51:K51)</f>
        <v>60912</v>
      </c>
    </row>
    <row r="52" customFormat="false" ht="13.5" hidden="false" customHeight="true" outlineLevel="0" collapsed="false">
      <c r="A52" s="102" t="s">
        <v>109</v>
      </c>
      <c r="B52" s="103"/>
      <c r="C52" s="104" t="s">
        <v>110</v>
      </c>
      <c r="D52" s="105" t="n">
        <f aca="false">IF(AND(C51&lt;&gt;0,C51&lt;&gt;"",D51&lt;&gt;0,D51&lt;&gt;""),(D51-C51)/C51,"")</f>
        <v>-0.866869165802341</v>
      </c>
      <c r="E52" s="105" t="n">
        <f aca="false">IF(AND(D51&lt;&gt;0,D51&lt;&gt;"",E51&lt;&gt;0,E51&lt;&gt;""),(E51-D51)/D51,"")</f>
        <v>0</v>
      </c>
      <c r="F52" s="105" t="n">
        <f aca="false">IF(AND(E51&lt;&gt;0,E51&lt;&gt;"",F51&lt;&gt;0,F51&lt;&gt;""),(F51-E51)/E51,"")</f>
        <v>0</v>
      </c>
      <c r="G52" s="105" t="n">
        <f aca="false">IF(AND(F51&lt;&gt;0,F51&lt;&gt;"",G51&lt;&gt;0,G51&lt;&gt;""),(G51-F51)/F51,"")</f>
        <v>0</v>
      </c>
      <c r="H52" s="105" t="n">
        <f aca="false">IF(AND(G51&lt;&gt;0,G51&lt;&gt;"",H51&lt;&gt;0,H51&lt;&gt;""),(H51-G51)/G51,"")</f>
        <v>0.2039510294936</v>
      </c>
      <c r="I52" s="105" t="n">
        <f aca="false">IF(AND(H51&lt;&gt;0,H51&lt;&gt;"",I51&lt;&gt;0,I51&lt;&gt;""),(I51-H51)/H51,"")</f>
        <v>-0.197365380171019</v>
      </c>
      <c r="J52" s="105" t="n">
        <f aca="false">IF(AND(I51&lt;&gt;0,I51&lt;&gt;"",J51&lt;&gt;0,J51&lt;&gt;""),(J51-I51)/I51,"")</f>
        <v>1.20961704578174</v>
      </c>
      <c r="K52" s="105" t="n">
        <f aca="false">IF(AND(J51&lt;&gt;0,J51&lt;&gt;"",K51&lt;&gt;0,K51&lt;&gt;""),(K51-J51)/J51,"")</f>
        <v>-0.470158978368517</v>
      </c>
      <c r="L52" s="106" t="n">
        <f aca="false">IF(C51&lt;&gt;0,(AVERAGE(D51:G51)-C51)/C51,"")</f>
        <v>-0.866869165802341</v>
      </c>
    </row>
    <row r="53" customFormat="false" ht="15.75" hidden="false" customHeight="true" outlineLevel="0" collapsed="false">
      <c r="A53" s="100" t="s">
        <v>122</v>
      </c>
      <c r="B53" s="101" t="s">
        <v>89</v>
      </c>
      <c r="C53" s="69" t="n">
        <v>2712</v>
      </c>
      <c r="D53" s="69" t="n">
        <v>1474</v>
      </c>
      <c r="E53" s="69" t="n">
        <v>1474</v>
      </c>
      <c r="F53" s="69" t="n">
        <v>1474</v>
      </c>
      <c r="G53" s="69" t="n">
        <v>1474</v>
      </c>
      <c r="H53" s="69" t="n">
        <v>1451</v>
      </c>
      <c r="I53" s="69" t="n">
        <v>1165</v>
      </c>
      <c r="J53" s="69" t="n">
        <v>2574</v>
      </c>
      <c r="K53" s="69" t="n">
        <v>1364</v>
      </c>
      <c r="L53" s="70" t="n">
        <f aca="false">SUM(C53:K53)</f>
        <v>15162</v>
      </c>
    </row>
    <row r="54" customFormat="false" ht="13.5" hidden="false" customHeight="true" outlineLevel="0" collapsed="false">
      <c r="A54" s="102" t="s">
        <v>109</v>
      </c>
      <c r="B54" s="103"/>
      <c r="C54" s="104" t="s">
        <v>110</v>
      </c>
      <c r="D54" s="105" t="n">
        <f aca="false">IF(AND(C53&lt;&gt;0,C53&lt;&gt;"",D53&lt;&gt;0,D53&lt;&gt;""),(D53-C53)/C53,"")</f>
        <v>-0.456489675516224</v>
      </c>
      <c r="E54" s="105" t="n">
        <f aca="false">IF(AND(D53&lt;&gt;0,D53&lt;&gt;"",E53&lt;&gt;0,E53&lt;&gt;""),(E53-D53)/D53,"")</f>
        <v>0</v>
      </c>
      <c r="F54" s="105" t="n">
        <f aca="false">IF(AND(E53&lt;&gt;0,E53&lt;&gt;"",F53&lt;&gt;0,F53&lt;&gt;""),(F53-E53)/E53,"")</f>
        <v>0</v>
      </c>
      <c r="G54" s="105" t="n">
        <f aca="false">IF(AND(F53&lt;&gt;0,F53&lt;&gt;"",G53&lt;&gt;0,G53&lt;&gt;""),(G53-F53)/F53,"")</f>
        <v>0</v>
      </c>
      <c r="H54" s="105" t="n">
        <f aca="false">IF(AND(G53&lt;&gt;0,G53&lt;&gt;"",H53&lt;&gt;0,H53&lt;&gt;""),(H53-G53)/G53,"")</f>
        <v>-0.0156037991858887</v>
      </c>
      <c r="I54" s="105" t="n">
        <f aca="false">IF(AND(H53&lt;&gt;0,H53&lt;&gt;"",I53&lt;&gt;0,I53&lt;&gt;""),(I53-H53)/H53,"")</f>
        <v>-0.19710544452102</v>
      </c>
      <c r="J54" s="105" t="n">
        <f aca="false">IF(AND(I53&lt;&gt;0,I53&lt;&gt;"",J53&lt;&gt;0,J53&lt;&gt;""),(J53-I53)/I53,"")</f>
        <v>1.20944206008584</v>
      </c>
      <c r="K54" s="105" t="n">
        <f aca="false">IF(AND(J53&lt;&gt;0,J53&lt;&gt;"",K53&lt;&gt;0,K53&lt;&gt;""),(K53-J53)/J53,"")</f>
        <v>-0.47008547008547</v>
      </c>
      <c r="L54" s="106" t="n">
        <f aca="false">IF(C53&lt;&gt;0,(AVERAGE(D53:G53)-C53)/C53,"")</f>
        <v>-0.456489675516224</v>
      </c>
    </row>
    <row r="55" customFormat="false" ht="15.75" hidden="false" customHeight="true" outlineLevel="0" collapsed="false">
      <c r="A55" s="107" t="s">
        <v>123</v>
      </c>
      <c r="B55" s="94" t="s">
        <v>89</v>
      </c>
      <c r="C55" s="108" t="n">
        <v>4872</v>
      </c>
      <c r="D55" s="108" t="n">
        <v>363</v>
      </c>
      <c r="E55" s="108" t="n">
        <v>363</v>
      </c>
      <c r="F55" s="108" t="n">
        <v>363</v>
      </c>
      <c r="G55" s="108" t="n">
        <v>363</v>
      </c>
      <c r="H55" s="108" t="n">
        <v>407</v>
      </c>
      <c r="I55" s="108" t="n">
        <v>327</v>
      </c>
      <c r="J55" s="108" t="n">
        <v>723</v>
      </c>
      <c r="K55" s="108" t="n">
        <v>383</v>
      </c>
      <c r="L55" s="109" t="n">
        <f aca="false">SUM(C55:K55)</f>
        <v>8164</v>
      </c>
    </row>
    <row r="56" customFormat="false" ht="13.5" hidden="false" customHeight="true" outlineLevel="0" collapsed="false">
      <c r="A56" s="102" t="s">
        <v>109</v>
      </c>
      <c r="B56" s="103"/>
      <c r="C56" s="104" t="s">
        <v>110</v>
      </c>
      <c r="D56" s="105" t="n">
        <f aca="false">IF(AND(C55&lt;&gt;0,C55&lt;&gt;"",D55&lt;&gt;0,D55&lt;&gt;""),(D55-C55)/C55,"")</f>
        <v>-0.925492610837438</v>
      </c>
      <c r="E56" s="105" t="n">
        <f aca="false">IF(AND(D55&lt;&gt;0,D55&lt;&gt;"",E55&lt;&gt;0,E55&lt;&gt;""),(E55-D55)/D55,"")</f>
        <v>0</v>
      </c>
      <c r="F56" s="105" t="n">
        <f aca="false">IF(AND(E55&lt;&gt;0,E55&lt;&gt;"",F55&lt;&gt;0,F55&lt;&gt;""),(F55-E55)/E55,"")</f>
        <v>0</v>
      </c>
      <c r="G56" s="105" t="n">
        <f aca="false">IF(AND(F55&lt;&gt;0,F55&lt;&gt;"",G55&lt;&gt;0,G55&lt;&gt;""),(G55-F55)/F55,"")</f>
        <v>0</v>
      </c>
      <c r="H56" s="105" t="n">
        <f aca="false">IF(AND(G55&lt;&gt;0,G55&lt;&gt;"",H55&lt;&gt;0,H55&lt;&gt;""),(H55-G55)/G55,"")</f>
        <v>0.121212121212121</v>
      </c>
      <c r="I56" s="105" t="n">
        <f aca="false">IF(AND(H55&lt;&gt;0,H55&lt;&gt;"",I55&lt;&gt;0,I55&lt;&gt;""),(I55-H55)/H55,"")</f>
        <v>-0.196560196560197</v>
      </c>
      <c r="J56" s="105" t="n">
        <f aca="false">IF(AND(I55&lt;&gt;0,I55&lt;&gt;"",J55&lt;&gt;0,J55&lt;&gt;""),(J55-I55)/I55,"")</f>
        <v>1.21100917431193</v>
      </c>
      <c r="K56" s="105" t="n">
        <f aca="false">IF(AND(J55&lt;&gt;0,J55&lt;&gt;"",K55&lt;&gt;0,K55&lt;&gt;""),(K55-J55)/J55,"")</f>
        <v>-0.470262793914246</v>
      </c>
      <c r="L56" s="106" t="n">
        <f aca="false">IF(C55&lt;&gt;0,(AVERAGE(D55:G55)-C55)/C55,"")</f>
        <v>-0.925492610837438</v>
      </c>
    </row>
    <row r="57" customFormat="false" ht="15.75" hidden="false" customHeight="true" outlineLevel="0" collapsed="false">
      <c r="A57" s="100" t="s">
        <v>124</v>
      </c>
      <c r="B57" s="101" t="s">
        <v>89</v>
      </c>
      <c r="C57" s="69" t="n">
        <v>1482</v>
      </c>
      <c r="D57" s="69" t="n">
        <v>352</v>
      </c>
      <c r="E57" s="69" t="n">
        <v>352</v>
      </c>
      <c r="F57" s="69" t="n">
        <v>352</v>
      </c>
      <c r="G57" s="69" t="n">
        <v>352</v>
      </c>
      <c r="H57" s="69" t="n">
        <v>383</v>
      </c>
      <c r="I57" s="69" t="n">
        <v>307</v>
      </c>
      <c r="J57" s="69" t="n">
        <v>679</v>
      </c>
      <c r="K57" s="69" t="n">
        <v>360</v>
      </c>
      <c r="L57" s="70" t="n">
        <f aca="false">SUM(C57:K57)</f>
        <v>4619</v>
      </c>
    </row>
    <row r="58" customFormat="false" ht="13.5" hidden="false" customHeight="true" outlineLevel="0" collapsed="false">
      <c r="A58" s="102" t="s">
        <v>109</v>
      </c>
      <c r="B58" s="103"/>
      <c r="C58" s="104" t="s">
        <v>110</v>
      </c>
      <c r="D58" s="105" t="n">
        <f aca="false">IF(AND(C57&lt;&gt;0,C57&lt;&gt;"",D57&lt;&gt;0,D57&lt;&gt;""),(D57-C57)/C57,"")</f>
        <v>-0.762483130904184</v>
      </c>
      <c r="E58" s="105" t="n">
        <f aca="false">IF(AND(D57&lt;&gt;0,D57&lt;&gt;"",E57&lt;&gt;0,E57&lt;&gt;""),(E57-D57)/D57,"")</f>
        <v>0</v>
      </c>
      <c r="F58" s="105" t="n">
        <f aca="false">IF(AND(E57&lt;&gt;0,E57&lt;&gt;"",F57&lt;&gt;0,F57&lt;&gt;""),(F57-E57)/E57,"")</f>
        <v>0</v>
      </c>
      <c r="G58" s="105" t="n">
        <f aca="false">IF(AND(F57&lt;&gt;0,F57&lt;&gt;"",G57&lt;&gt;0,G57&lt;&gt;""),(G57-F57)/F57,"")</f>
        <v>0</v>
      </c>
      <c r="H58" s="105" t="n">
        <f aca="false">IF(AND(G57&lt;&gt;0,G57&lt;&gt;"",H57&lt;&gt;0,H57&lt;&gt;""),(H57-G57)/G57,"")</f>
        <v>0.0880681818181818</v>
      </c>
      <c r="I58" s="105" t="n">
        <f aca="false">IF(AND(H57&lt;&gt;0,H57&lt;&gt;"",I57&lt;&gt;0,I57&lt;&gt;""),(I57-H57)/H57,"")</f>
        <v>-0.198433420365535</v>
      </c>
      <c r="J58" s="105" t="n">
        <f aca="false">IF(AND(I57&lt;&gt;0,I57&lt;&gt;"",J57&lt;&gt;0,J57&lt;&gt;""),(J57-I57)/I57,"")</f>
        <v>1.21172638436482</v>
      </c>
      <c r="K58" s="105" t="n">
        <f aca="false">IF(AND(J57&lt;&gt;0,J57&lt;&gt;"",K57&lt;&gt;0,K57&lt;&gt;""),(K57-J57)/J57,"")</f>
        <v>-0.46980854197349</v>
      </c>
      <c r="L58" s="106" t="n">
        <f aca="false">IF(C57&lt;&gt;0,(AVERAGE(D57:G57)-C57)/C57,"")</f>
        <v>-0.762483130904184</v>
      </c>
    </row>
    <row r="59" customFormat="false" ht="15.75" hidden="false" customHeight="true" outlineLevel="0" collapsed="false">
      <c r="A59" s="107" t="s">
        <v>125</v>
      </c>
      <c r="B59" s="94" t="s">
        <v>89</v>
      </c>
      <c r="C59" s="108" t="n">
        <v>2311</v>
      </c>
      <c r="D59" s="108" t="n">
        <v>376</v>
      </c>
      <c r="E59" s="108" t="n">
        <v>376</v>
      </c>
      <c r="F59" s="108" t="n">
        <v>376</v>
      </c>
      <c r="G59" s="108" t="n">
        <v>376</v>
      </c>
      <c r="H59" s="108" t="n">
        <v>221</v>
      </c>
      <c r="I59" s="108" t="n">
        <v>177</v>
      </c>
      <c r="J59" s="108" t="n">
        <v>392</v>
      </c>
      <c r="K59" s="108" t="n">
        <v>208</v>
      </c>
      <c r="L59" s="109" t="n">
        <f aca="false">SUM(C59:K59)</f>
        <v>4813</v>
      </c>
    </row>
    <row r="60" customFormat="false" ht="13.5" hidden="false" customHeight="true" outlineLevel="0" collapsed="false">
      <c r="A60" s="102" t="s">
        <v>109</v>
      </c>
      <c r="B60" s="103"/>
      <c r="C60" s="104" t="s">
        <v>110</v>
      </c>
      <c r="D60" s="105" t="n">
        <f aca="false">IF(AND(C59&lt;&gt;0,C59&lt;&gt;"",D59&lt;&gt;0,D59&lt;&gt;""),(D59-C59)/C59,"")</f>
        <v>-0.837299870186067</v>
      </c>
      <c r="E60" s="105" t="n">
        <f aca="false">IF(AND(D59&lt;&gt;0,D59&lt;&gt;"",E59&lt;&gt;0,E59&lt;&gt;""),(E59-D59)/D59,"")</f>
        <v>0</v>
      </c>
      <c r="F60" s="105" t="n">
        <f aca="false">IF(AND(E59&lt;&gt;0,E59&lt;&gt;"",F59&lt;&gt;0,F59&lt;&gt;""),(F59-E59)/E59,"")</f>
        <v>0</v>
      </c>
      <c r="G60" s="105" t="n">
        <f aca="false">IF(AND(F59&lt;&gt;0,F59&lt;&gt;"",G59&lt;&gt;0,G59&lt;&gt;""),(G59-F59)/F59,"")</f>
        <v>0</v>
      </c>
      <c r="H60" s="105" t="n">
        <f aca="false">IF(AND(G59&lt;&gt;0,G59&lt;&gt;"",H59&lt;&gt;0,H59&lt;&gt;""),(H59-G59)/G59,"")</f>
        <v>-0.412234042553192</v>
      </c>
      <c r="I60" s="105" t="n">
        <f aca="false">IF(AND(H59&lt;&gt;0,H59&lt;&gt;"",I59&lt;&gt;0,I59&lt;&gt;""),(I59-H59)/H59,"")</f>
        <v>-0.199095022624434</v>
      </c>
      <c r="J60" s="105" t="n">
        <f aca="false">IF(AND(I59&lt;&gt;0,I59&lt;&gt;"",J59&lt;&gt;0,J59&lt;&gt;""),(J59-I59)/I59,"")</f>
        <v>1.21468926553672</v>
      </c>
      <c r="K60" s="105" t="n">
        <f aca="false">IF(AND(J59&lt;&gt;0,J59&lt;&gt;"",K59&lt;&gt;0,K59&lt;&gt;""),(K59-J59)/J59,"")</f>
        <v>-0.469387755102041</v>
      </c>
      <c r="L60" s="106" t="n">
        <f aca="false">IF(C59&lt;&gt;0,(AVERAGE(D59:G59)-C59)/C59,"")</f>
        <v>-0.837299870186067</v>
      </c>
    </row>
    <row r="61" customFormat="false" ht="15.75" hidden="false" customHeight="true" outlineLevel="0" collapsed="false">
      <c r="A61" s="100" t="s">
        <v>126</v>
      </c>
      <c r="B61" s="101" t="s">
        <v>89</v>
      </c>
      <c r="C61" s="69" t="n">
        <v>3330</v>
      </c>
      <c r="D61" s="69" t="n">
        <v>236</v>
      </c>
      <c r="E61" s="69" t="n">
        <v>236</v>
      </c>
      <c r="F61" s="69" t="n">
        <v>236</v>
      </c>
      <c r="G61" s="69" t="n">
        <v>236</v>
      </c>
      <c r="H61" s="69" t="n">
        <v>354</v>
      </c>
      <c r="I61" s="69" t="n">
        <v>284</v>
      </c>
      <c r="J61" s="69" t="n">
        <v>628</v>
      </c>
      <c r="K61" s="69" t="n">
        <v>333</v>
      </c>
      <c r="L61" s="70" t="n">
        <f aca="false">SUM(C61:K61)</f>
        <v>5873</v>
      </c>
    </row>
    <row r="62" customFormat="false" ht="13.5" hidden="false" customHeight="true" outlineLevel="0" collapsed="false">
      <c r="A62" s="102" t="s">
        <v>109</v>
      </c>
      <c r="B62" s="103"/>
      <c r="C62" s="104" t="s">
        <v>110</v>
      </c>
      <c r="D62" s="105" t="n">
        <f aca="false">IF(AND(C61&lt;&gt;0,C61&lt;&gt;"",D61&lt;&gt;0,D61&lt;&gt;""),(D61-C61)/C61,"")</f>
        <v>-0.929129129129129</v>
      </c>
      <c r="E62" s="105" t="n">
        <f aca="false">IF(AND(D61&lt;&gt;0,D61&lt;&gt;"",E61&lt;&gt;0,E61&lt;&gt;""),(E61-D61)/D61,"")</f>
        <v>0</v>
      </c>
      <c r="F62" s="105" t="n">
        <f aca="false">IF(AND(E61&lt;&gt;0,E61&lt;&gt;"",F61&lt;&gt;0,F61&lt;&gt;""),(F61-E61)/E61,"")</f>
        <v>0</v>
      </c>
      <c r="G62" s="105" t="n">
        <f aca="false">IF(AND(F61&lt;&gt;0,F61&lt;&gt;"",G61&lt;&gt;0,G61&lt;&gt;""),(G61-F61)/F61,"")</f>
        <v>0</v>
      </c>
      <c r="H62" s="105" t="n">
        <f aca="false">IF(AND(G61&lt;&gt;0,G61&lt;&gt;"",H61&lt;&gt;0,H61&lt;&gt;""),(H61-G61)/G61,"")</f>
        <v>0.5</v>
      </c>
      <c r="I62" s="105" t="n">
        <f aca="false">IF(AND(H61&lt;&gt;0,H61&lt;&gt;"",I61&lt;&gt;0,I61&lt;&gt;""),(I61-H61)/H61,"")</f>
        <v>-0.19774011299435</v>
      </c>
      <c r="J62" s="105" t="n">
        <f aca="false">IF(AND(I61&lt;&gt;0,I61&lt;&gt;"",J61&lt;&gt;0,J61&lt;&gt;""),(J61-I61)/I61,"")</f>
        <v>1.2112676056338</v>
      </c>
      <c r="K62" s="105" t="n">
        <f aca="false">IF(AND(J61&lt;&gt;0,J61&lt;&gt;"",K61&lt;&gt;0,K61&lt;&gt;""),(K61-J61)/J61,"")</f>
        <v>-0.469745222929936</v>
      </c>
      <c r="L62" s="106" t="n">
        <f aca="false">IF(C61&lt;&gt;0,(AVERAGE(D61:G61)-C61)/C61,"")</f>
        <v>-0.929129129129129</v>
      </c>
    </row>
    <row r="63" customFormat="false" ht="15.75" hidden="false" customHeight="true" outlineLevel="0" collapsed="false">
      <c r="A63" s="107" t="s">
        <v>127</v>
      </c>
      <c r="B63" s="94" t="s">
        <v>89</v>
      </c>
      <c r="C63" s="108" t="n">
        <v>624</v>
      </c>
      <c r="D63" s="108" t="n">
        <v>122</v>
      </c>
      <c r="E63" s="108" t="n">
        <v>122</v>
      </c>
      <c r="F63" s="108" t="n">
        <v>122</v>
      </c>
      <c r="G63" s="108" t="n">
        <v>122</v>
      </c>
      <c r="H63" s="108" t="n">
        <v>106</v>
      </c>
      <c r="I63" s="108" t="n">
        <v>85</v>
      </c>
      <c r="J63" s="108" t="n">
        <v>188</v>
      </c>
      <c r="K63" s="108" t="n">
        <v>99</v>
      </c>
      <c r="L63" s="109" t="n">
        <f aca="false">SUM(C63:K63)</f>
        <v>1590</v>
      </c>
    </row>
    <row r="64" customFormat="false" ht="13.5" hidden="false" customHeight="true" outlineLevel="0" collapsed="false">
      <c r="A64" s="102" t="s">
        <v>109</v>
      </c>
      <c r="B64" s="103"/>
      <c r="C64" s="104" t="s">
        <v>110</v>
      </c>
      <c r="D64" s="105" t="n">
        <f aca="false">IF(AND(C63&lt;&gt;0,C63&lt;&gt;"",D63&lt;&gt;0,D63&lt;&gt;""),(D63-C63)/C63,"")</f>
        <v>-0.80448717948718</v>
      </c>
      <c r="E64" s="105" t="n">
        <f aca="false">IF(AND(D63&lt;&gt;0,D63&lt;&gt;"",E63&lt;&gt;0,E63&lt;&gt;""),(E63-D63)/D63,"")</f>
        <v>0</v>
      </c>
      <c r="F64" s="105" t="n">
        <f aca="false">IF(AND(E63&lt;&gt;0,E63&lt;&gt;"",F63&lt;&gt;0,F63&lt;&gt;""),(F63-E63)/E63,"")</f>
        <v>0</v>
      </c>
      <c r="G64" s="105" t="n">
        <f aca="false">IF(AND(F63&lt;&gt;0,F63&lt;&gt;"",G63&lt;&gt;0,G63&lt;&gt;""),(G63-F63)/F63,"")</f>
        <v>0</v>
      </c>
      <c r="H64" s="105" t="n">
        <f aca="false">IF(AND(G63&lt;&gt;0,G63&lt;&gt;"",H63&lt;&gt;0,H63&lt;&gt;""),(H63-G63)/G63,"")</f>
        <v>-0.131147540983607</v>
      </c>
      <c r="I64" s="105" t="n">
        <f aca="false">IF(AND(H63&lt;&gt;0,H63&lt;&gt;"",I63&lt;&gt;0,I63&lt;&gt;""),(I63-H63)/H63,"")</f>
        <v>-0.19811320754717</v>
      </c>
      <c r="J64" s="105" t="n">
        <f aca="false">IF(AND(I63&lt;&gt;0,I63&lt;&gt;"",J63&lt;&gt;0,J63&lt;&gt;""),(J63-I63)/I63,"")</f>
        <v>1.21176470588235</v>
      </c>
      <c r="K64" s="105" t="n">
        <f aca="false">IF(AND(J63&lt;&gt;0,J63&lt;&gt;"",K63&lt;&gt;0,K63&lt;&gt;""),(K63-J63)/J63,"")</f>
        <v>-0.473404255319149</v>
      </c>
      <c r="L64" s="106" t="n">
        <f aca="false">IF(C63&lt;&gt;0,(AVERAGE(D63:G63)-C63)/C63,"")</f>
        <v>-0.80448717948718</v>
      </c>
    </row>
    <row r="65" customFormat="false" ht="18" hidden="false" customHeight="true" outlineLevel="0" collapsed="false">
      <c r="A65" s="97" t="s">
        <v>128</v>
      </c>
      <c r="B65" s="98"/>
      <c r="C65" s="48" t="n">
        <f aca="false">C49+C51+C53+C55+C57+C59+C61+C63</f>
        <v>61739</v>
      </c>
      <c r="D65" s="48" t="n">
        <f aca="false">D49+D51+D53+D55+D57+D59+D61+D63</f>
        <v>7523</v>
      </c>
      <c r="E65" s="48" t="n">
        <f aca="false">E49+E51+E53+E55+E57+E59+E61+E63</f>
        <v>7523</v>
      </c>
      <c r="F65" s="48" t="n">
        <f aca="false">F49+F51+F53+F55+F57+F59+F61+F63</f>
        <v>7523</v>
      </c>
      <c r="G65" s="48" t="n">
        <f aca="false">G49+G51+G53+G55+G57+G59+G61+G63</f>
        <v>7523</v>
      </c>
      <c r="H65" s="48" t="n">
        <f aca="false">H49+H51+H53+H55+H57+H59+H61+H63</f>
        <v>9693</v>
      </c>
      <c r="I65" s="48" t="n">
        <f aca="false">I49+I51+I53+I55+I57+I59+I61+I63</f>
        <v>7780</v>
      </c>
      <c r="J65" s="48" t="n">
        <f aca="false">J49+J51+J53+J55+J57+J59+J61+J63</f>
        <v>17193</v>
      </c>
      <c r="K65" s="48" t="n">
        <f aca="false">K49+K51+K53+K55+K57+K59+K61+K63</f>
        <v>9110</v>
      </c>
      <c r="L65" s="48" t="n">
        <f aca="false">SUM(C65:K65)</f>
        <v>135607</v>
      </c>
    </row>
    <row r="67" customFormat="false" ht="15" hidden="false" customHeight="false" outlineLevel="0" collapsed="false">
      <c r="A67" s="110" t="s">
        <v>129</v>
      </c>
      <c r="B67" s="110"/>
    </row>
    <row r="70" customFormat="false" ht="18" hidden="false" customHeight="true" outlineLevel="0" collapsed="false">
      <c r="A70" s="25" t="s">
        <v>21</v>
      </c>
      <c r="B70" s="25" t="s">
        <v>130</v>
      </c>
      <c r="C70" s="25" t="s">
        <v>131</v>
      </c>
      <c r="D70" s="25" t="s">
        <v>132</v>
      </c>
    </row>
    <row r="71" customFormat="false" ht="15" hidden="false" customHeight="true" outlineLevel="0" collapsed="false">
      <c r="A71" s="111" t="s">
        <v>42</v>
      </c>
      <c r="B71" s="112" t="n">
        <v>17586</v>
      </c>
      <c r="C71" s="112" t="n">
        <v>8924</v>
      </c>
      <c r="D71" s="112" t="n">
        <v>9685</v>
      </c>
    </row>
    <row r="72" customFormat="false" ht="15" hidden="false" customHeight="true" outlineLevel="0" collapsed="false">
      <c r="A72" s="111" t="s">
        <v>44</v>
      </c>
      <c r="B72" s="112" t="n">
        <v>348</v>
      </c>
      <c r="C72" s="112" t="n">
        <v>663</v>
      </c>
      <c r="D72" s="112" t="n">
        <v>1046</v>
      </c>
    </row>
    <row r="73" customFormat="false" ht="15" hidden="false" customHeight="true" outlineLevel="0" collapsed="false">
      <c r="A73" s="111" t="s">
        <v>45</v>
      </c>
      <c r="B73" s="112" t="n">
        <v>960</v>
      </c>
      <c r="C73" s="112" t="n">
        <v>30</v>
      </c>
      <c r="D73" s="112" t="n">
        <v>105</v>
      </c>
    </row>
    <row r="74" customFormat="false" ht="15" hidden="false" customHeight="true" outlineLevel="0" collapsed="false">
      <c r="A74" s="111" t="s">
        <v>46</v>
      </c>
      <c r="B74" s="112" t="n">
        <v>930</v>
      </c>
      <c r="C74" s="112" t="n">
        <v>1044</v>
      </c>
      <c r="D74" s="112" t="n">
        <v>0</v>
      </c>
    </row>
    <row r="75" customFormat="false" ht="15" hidden="false" customHeight="true" outlineLevel="0" collapsed="false">
      <c r="A75" s="111" t="s">
        <v>40</v>
      </c>
      <c r="B75" s="112" t="n">
        <v>0</v>
      </c>
      <c r="C75" s="112" t="n">
        <v>1128</v>
      </c>
      <c r="D75" s="112" t="n">
        <v>0</v>
      </c>
    </row>
    <row r="76" customFormat="false" ht="15" hidden="false" customHeight="true" outlineLevel="0" collapsed="false">
      <c r="A76" s="111" t="s">
        <v>52</v>
      </c>
      <c r="B76" s="112" t="n">
        <v>0</v>
      </c>
      <c r="C76" s="112" t="n">
        <v>5646</v>
      </c>
      <c r="D76" s="112" t="n">
        <v>0</v>
      </c>
    </row>
    <row r="77" customFormat="false" ht="15" hidden="false" customHeight="true" outlineLevel="0" collapsed="false">
      <c r="A77" s="111" t="s">
        <v>53</v>
      </c>
      <c r="B77" s="112" t="n">
        <v>465</v>
      </c>
      <c r="C77" s="112" t="n">
        <v>484</v>
      </c>
      <c r="D77" s="112" t="n">
        <v>595</v>
      </c>
    </row>
    <row r="78" customFormat="false" ht="15" hidden="false" customHeight="true" outlineLevel="0" collapsed="false">
      <c r="A78" s="111" t="s">
        <v>48</v>
      </c>
      <c r="B78" s="112" t="n">
        <v>0</v>
      </c>
      <c r="C78" s="112" t="n">
        <v>0</v>
      </c>
      <c r="D78" s="112" t="n">
        <v>1582</v>
      </c>
    </row>
    <row r="79" customFormat="false" ht="15" hidden="false" customHeight="true" outlineLevel="0" collapsed="false">
      <c r="A79" s="113" t="s">
        <v>37</v>
      </c>
      <c r="B79" s="114" t="n">
        <v>19412</v>
      </c>
      <c r="C79" s="114" t="n">
        <v>4022</v>
      </c>
      <c r="D79" s="114" t="n">
        <v>11038</v>
      </c>
    </row>
    <row r="80" customFormat="false" ht="15" hidden="false" customHeight="true" outlineLevel="0" collapsed="false">
      <c r="A80" s="113" t="s">
        <v>47</v>
      </c>
      <c r="B80" s="114" t="n">
        <v>26996</v>
      </c>
      <c r="C80" s="114" t="n">
        <v>14375</v>
      </c>
      <c r="D80" s="114" t="n">
        <v>19540</v>
      </c>
    </row>
    <row r="81" customFormat="false" ht="15" hidden="false" customHeight="true" outlineLevel="0" collapsed="false">
      <c r="A81" s="113" t="s">
        <v>49</v>
      </c>
      <c r="B81" s="114" t="n">
        <v>2712</v>
      </c>
      <c r="C81" s="114" t="n">
        <v>5896</v>
      </c>
      <c r="D81" s="114" t="n">
        <v>6555</v>
      </c>
    </row>
    <row r="82" customFormat="false" ht="15" hidden="false" customHeight="true" outlineLevel="0" collapsed="false">
      <c r="A82" s="113" t="s">
        <v>50</v>
      </c>
      <c r="B82" s="114" t="n">
        <v>4872</v>
      </c>
      <c r="C82" s="114" t="n">
        <v>1453</v>
      </c>
      <c r="D82" s="114" t="n">
        <v>1840</v>
      </c>
    </row>
    <row r="83" customFormat="false" ht="15" hidden="false" customHeight="true" outlineLevel="0" collapsed="false">
      <c r="A83" s="113" t="s">
        <v>39</v>
      </c>
      <c r="B83" s="114" t="n">
        <v>1482</v>
      </c>
      <c r="C83" s="114" t="n">
        <v>1406</v>
      </c>
      <c r="D83" s="114" t="n">
        <v>1728</v>
      </c>
    </row>
    <row r="84" customFormat="false" ht="15" hidden="false" customHeight="true" outlineLevel="0" collapsed="false">
      <c r="A84" s="113" t="s">
        <v>41</v>
      </c>
      <c r="B84" s="114" t="n">
        <v>2311</v>
      </c>
      <c r="C84" s="114" t="n">
        <v>1504</v>
      </c>
      <c r="D84" s="114" t="n">
        <v>998</v>
      </c>
    </row>
    <row r="85" customFormat="false" ht="15" hidden="false" customHeight="true" outlineLevel="0" collapsed="false">
      <c r="A85" s="113" t="s">
        <v>43</v>
      </c>
      <c r="B85" s="114" t="n">
        <v>3330</v>
      </c>
      <c r="C85" s="114" t="n">
        <v>944</v>
      </c>
      <c r="D85" s="114" t="n">
        <v>1600</v>
      </c>
    </row>
    <row r="86" customFormat="false" ht="15" hidden="false" customHeight="true" outlineLevel="0" collapsed="false">
      <c r="A86" s="113" t="s">
        <v>51</v>
      </c>
      <c r="B86" s="114" t="n">
        <v>624</v>
      </c>
      <c r="C86" s="114" t="n">
        <v>488</v>
      </c>
      <c r="D86" s="114" t="n">
        <v>478</v>
      </c>
    </row>
  </sheetData>
  <mergeCells count="10">
    <mergeCell ref="A1:N1"/>
    <mergeCell ref="A2:N2"/>
    <mergeCell ref="A4:N4"/>
    <mergeCell ref="A14:N14"/>
    <mergeCell ref="A21:N21"/>
    <mergeCell ref="A26:M26"/>
    <mergeCell ref="A27:M27"/>
    <mergeCell ref="A29:M29"/>
    <mergeCell ref="A48:M48"/>
    <mergeCell ref="A67:B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6" min="3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24" t="s">
        <v>133</v>
      </c>
      <c r="B1" s="24"/>
      <c r="C1" s="24"/>
      <c r="D1" s="24"/>
      <c r="E1" s="24"/>
      <c r="F1" s="24"/>
      <c r="G1" s="24"/>
      <c r="H1" s="24"/>
    </row>
    <row r="2" customFormat="false" ht="19.5" hidden="false" customHeight="true" outlineLevel="0" collapsed="false">
      <c r="A2" s="25" t="s">
        <v>21</v>
      </c>
      <c r="B2" s="25" t="s">
        <v>14</v>
      </c>
      <c r="C2" s="25" t="s">
        <v>134</v>
      </c>
      <c r="D2" s="25" t="s">
        <v>135</v>
      </c>
      <c r="E2" s="25" t="s">
        <v>136</v>
      </c>
      <c r="F2" s="25" t="s">
        <v>137</v>
      </c>
      <c r="G2" s="25" t="s">
        <v>138</v>
      </c>
      <c r="H2" s="25" t="s">
        <v>68</v>
      </c>
      <c r="I2" s="25" t="s">
        <v>139</v>
      </c>
    </row>
    <row r="3" customFormat="false" ht="16.5" hidden="false" customHeight="true" outlineLevel="0" collapsed="false">
      <c r="A3" s="115" t="s">
        <v>37</v>
      </c>
      <c r="B3" s="116" t="s">
        <v>16</v>
      </c>
      <c r="C3" s="117" t="n">
        <v>11782</v>
      </c>
      <c r="D3" s="118" t="n">
        <v>11118</v>
      </c>
      <c r="E3" s="119" t="n">
        <v>6992</v>
      </c>
      <c r="F3" s="120" t="n">
        <v>4580</v>
      </c>
      <c r="G3" s="121"/>
      <c r="H3" s="122" t="n">
        <f aca="false">SUM(C3:G3)</f>
        <v>34472</v>
      </c>
      <c r="I3" s="123" t="n">
        <f aca="false">(C3+D3)/H3</f>
        <v>0.664307263866326</v>
      </c>
    </row>
    <row r="4" customFormat="false" ht="16.5" hidden="false" customHeight="true" outlineLevel="0" collapsed="false">
      <c r="A4" s="124" t="s">
        <v>39</v>
      </c>
      <c r="B4" s="125" t="s">
        <v>16</v>
      </c>
      <c r="C4" s="126" t="n">
        <v>1725</v>
      </c>
      <c r="D4" s="127" t="n">
        <v>1581</v>
      </c>
      <c r="E4" s="128" t="n">
        <v>1150</v>
      </c>
      <c r="F4" s="129" t="n">
        <v>160</v>
      </c>
      <c r="G4" s="130"/>
      <c r="H4" s="131" t="n">
        <f aca="false">SUM(C4:G4)</f>
        <v>4616</v>
      </c>
      <c r="I4" s="132" t="n">
        <f aca="false">(C4+D4)/H4</f>
        <v>0.716204506065858</v>
      </c>
    </row>
    <row r="5" customFormat="false" ht="16.5" hidden="false" customHeight="true" outlineLevel="0" collapsed="false">
      <c r="A5" s="115" t="s">
        <v>40</v>
      </c>
      <c r="B5" s="116" t="s">
        <v>17</v>
      </c>
      <c r="C5" s="117" t="n">
        <v>420</v>
      </c>
      <c r="D5" s="118" t="n">
        <v>414</v>
      </c>
      <c r="E5" s="119" t="n">
        <v>294</v>
      </c>
      <c r="F5" s="120"/>
      <c r="G5" s="121"/>
      <c r="H5" s="122" t="n">
        <f aca="false">SUM(C5:G5)</f>
        <v>1128</v>
      </c>
      <c r="I5" s="123" t="n">
        <f aca="false">(C5+D5)/H5</f>
        <v>0.73936170212766</v>
      </c>
    </row>
    <row r="6" customFormat="false" ht="16.5" hidden="false" customHeight="true" outlineLevel="0" collapsed="false">
      <c r="A6" s="124" t="s">
        <v>41</v>
      </c>
      <c r="B6" s="125" t="s">
        <v>16</v>
      </c>
      <c r="C6" s="126" t="n">
        <v>1829</v>
      </c>
      <c r="D6" s="127" t="n">
        <v>1706</v>
      </c>
      <c r="E6" s="128" t="n">
        <v>1278</v>
      </c>
      <c r="F6" s="129"/>
      <c r="G6" s="130"/>
      <c r="H6" s="131" t="n">
        <f aca="false">SUM(C6:G6)</f>
        <v>4813</v>
      </c>
      <c r="I6" s="132" t="n">
        <f aca="false">(C6+D6)/H6</f>
        <v>0.734469146062747</v>
      </c>
    </row>
    <row r="7" customFormat="false" ht="16.5" hidden="false" customHeight="true" outlineLevel="0" collapsed="false">
      <c r="A7" s="115" t="s">
        <v>42</v>
      </c>
      <c r="B7" s="116" t="s">
        <v>17</v>
      </c>
      <c r="C7" s="117" t="n">
        <v>7088</v>
      </c>
      <c r="D7" s="118" t="n">
        <v>6823</v>
      </c>
      <c r="E7" s="119" t="n">
        <v>3930</v>
      </c>
      <c r="F7" s="120" t="n">
        <v>3371</v>
      </c>
      <c r="G7" s="121" t="n">
        <v>14983</v>
      </c>
      <c r="H7" s="122" t="n">
        <f aca="false">SUM(C7:G7)</f>
        <v>36195</v>
      </c>
      <c r="I7" s="123" t="n">
        <f aca="false">(C7+D7)/H7</f>
        <v>0.384334852880232</v>
      </c>
    </row>
    <row r="8" customFormat="false" ht="16.5" hidden="false" customHeight="true" outlineLevel="0" collapsed="false">
      <c r="A8" s="124" t="s">
        <v>43</v>
      </c>
      <c r="B8" s="125" t="s">
        <v>16</v>
      </c>
      <c r="C8" s="126" t="n">
        <v>2255</v>
      </c>
      <c r="D8" s="127" t="n">
        <v>2156</v>
      </c>
      <c r="E8" s="128" t="n">
        <v>1463</v>
      </c>
      <c r="F8" s="129"/>
      <c r="G8" s="130"/>
      <c r="H8" s="131" t="n">
        <f aca="false">SUM(C8:G8)</f>
        <v>5874</v>
      </c>
      <c r="I8" s="132" t="n">
        <f aca="false">(C8+D8)/H8</f>
        <v>0.750936329588015</v>
      </c>
    </row>
    <row r="9" customFormat="false" ht="16.5" hidden="false" customHeight="true" outlineLevel="0" collapsed="false">
      <c r="A9" s="115" t="s">
        <v>44</v>
      </c>
      <c r="B9" s="116" t="s">
        <v>17</v>
      </c>
      <c r="C9" s="117" t="n">
        <v>528</v>
      </c>
      <c r="D9" s="118" t="n">
        <v>672</v>
      </c>
      <c r="E9" s="119" t="n">
        <v>450</v>
      </c>
      <c r="F9" s="120"/>
      <c r="G9" s="121" t="n">
        <v>407</v>
      </c>
      <c r="H9" s="122" t="n">
        <f aca="false">SUM(C9:G9)</f>
        <v>2057</v>
      </c>
      <c r="I9" s="123" t="n">
        <f aca="false">(C9+D9)/H9</f>
        <v>0.583373845405931</v>
      </c>
    </row>
    <row r="10" customFormat="false" ht="16.5" hidden="false" customHeight="true" outlineLevel="0" collapsed="false">
      <c r="A10" s="124" t="s">
        <v>45</v>
      </c>
      <c r="B10" s="125" t="s">
        <v>17</v>
      </c>
      <c r="C10" s="126" t="n">
        <v>390</v>
      </c>
      <c r="D10" s="127" t="n">
        <v>390</v>
      </c>
      <c r="E10" s="128" t="n">
        <v>240</v>
      </c>
      <c r="F10" s="129" t="n">
        <v>30</v>
      </c>
      <c r="G10" s="130" t="n">
        <v>45</v>
      </c>
      <c r="H10" s="131" t="n">
        <f aca="false">SUM(C10:G10)</f>
        <v>1095</v>
      </c>
      <c r="I10" s="132" t="n">
        <f aca="false">(C10+D10)/H10</f>
        <v>0.712328767123288</v>
      </c>
    </row>
    <row r="11" customFormat="false" ht="16.5" hidden="false" customHeight="true" outlineLevel="0" collapsed="false">
      <c r="A11" s="115" t="s">
        <v>46</v>
      </c>
      <c r="B11" s="116" t="s">
        <v>17</v>
      </c>
      <c r="C11" s="117" t="n">
        <v>702</v>
      </c>
      <c r="D11" s="118" t="n">
        <v>708</v>
      </c>
      <c r="E11" s="119" t="n">
        <v>564</v>
      </c>
      <c r="F11" s="120"/>
      <c r="G11" s="121"/>
      <c r="H11" s="122" t="n">
        <f aca="false">SUM(C11:G11)</f>
        <v>1974</v>
      </c>
      <c r="I11" s="123" t="n">
        <f aca="false">(C11+D11)/H11</f>
        <v>0.714285714285714</v>
      </c>
    </row>
    <row r="12" customFormat="false" ht="16.5" hidden="false" customHeight="true" outlineLevel="0" collapsed="false">
      <c r="A12" s="124" t="s">
        <v>47</v>
      </c>
      <c r="B12" s="125" t="s">
        <v>16</v>
      </c>
      <c r="C12" s="126" t="n">
        <v>21435</v>
      </c>
      <c r="D12" s="127" t="n">
        <v>20566</v>
      </c>
      <c r="E12" s="128" t="n">
        <v>13213</v>
      </c>
      <c r="F12" s="129" t="n">
        <v>5697</v>
      </c>
      <c r="G12" s="130"/>
      <c r="H12" s="131" t="n">
        <f aca="false">SUM(C12:G12)</f>
        <v>60911</v>
      </c>
      <c r="I12" s="132" t="n">
        <f aca="false">(C12+D12)/H12</f>
        <v>0.689547044047873</v>
      </c>
    </row>
    <row r="13" customFormat="false" ht="16.5" hidden="false" customHeight="true" outlineLevel="0" collapsed="false">
      <c r="A13" s="115" t="s">
        <v>48</v>
      </c>
      <c r="B13" s="116" t="s">
        <v>17</v>
      </c>
      <c r="C13" s="117" t="n">
        <v>630</v>
      </c>
      <c r="D13" s="118" t="n">
        <v>492</v>
      </c>
      <c r="E13" s="119" t="n">
        <v>320</v>
      </c>
      <c r="F13" s="120" t="n">
        <v>140</v>
      </c>
      <c r="G13" s="121"/>
      <c r="H13" s="122" t="n">
        <f aca="false">SUM(C13:G13)</f>
        <v>1582</v>
      </c>
      <c r="I13" s="123" t="n">
        <f aca="false">(C13+D13)/H13</f>
        <v>0.709228824273072</v>
      </c>
    </row>
    <row r="14" customFormat="false" ht="16.5" hidden="false" customHeight="true" outlineLevel="0" collapsed="false">
      <c r="A14" s="124" t="s">
        <v>49</v>
      </c>
      <c r="B14" s="125" t="s">
        <v>16</v>
      </c>
      <c r="C14" s="126" t="n">
        <v>5808</v>
      </c>
      <c r="D14" s="127" t="n">
        <v>5416</v>
      </c>
      <c r="E14" s="128" t="n">
        <v>3939</v>
      </c>
      <c r="F14" s="129"/>
      <c r="G14" s="130"/>
      <c r="H14" s="131" t="n">
        <f aca="false">SUM(C14:G14)</f>
        <v>15163</v>
      </c>
      <c r="I14" s="132" t="n">
        <f aca="false">(C14+D14)/H14</f>
        <v>0.740222911033437</v>
      </c>
    </row>
    <row r="15" customFormat="false" ht="16.5" hidden="false" customHeight="true" outlineLevel="0" collapsed="false">
      <c r="A15" s="115" t="s">
        <v>50</v>
      </c>
      <c r="B15" s="116" t="s">
        <v>16</v>
      </c>
      <c r="C15" s="117" t="n">
        <v>3244</v>
      </c>
      <c r="D15" s="118" t="n">
        <v>2949</v>
      </c>
      <c r="E15" s="119" t="n">
        <v>1972</v>
      </c>
      <c r="F15" s="120"/>
      <c r="G15" s="121"/>
      <c r="H15" s="122" t="n">
        <f aca="false">SUM(C15:G15)</f>
        <v>8165</v>
      </c>
      <c r="I15" s="123" t="n">
        <f aca="false">(C15+D15)/H15</f>
        <v>0.758481322718922</v>
      </c>
    </row>
    <row r="16" customFormat="false" ht="16.5" hidden="false" customHeight="true" outlineLevel="0" collapsed="false">
      <c r="A16" s="124" t="s">
        <v>51</v>
      </c>
      <c r="B16" s="125" t="s">
        <v>16</v>
      </c>
      <c r="C16" s="126" t="n">
        <v>620</v>
      </c>
      <c r="D16" s="127" t="n">
        <v>646</v>
      </c>
      <c r="E16" s="128" t="n">
        <v>360</v>
      </c>
      <c r="F16" s="129"/>
      <c r="G16" s="130"/>
      <c r="H16" s="131" t="n">
        <f aca="false">SUM(C16:G16)</f>
        <v>1626</v>
      </c>
      <c r="I16" s="132" t="n">
        <f aca="false">(C16+D16)/H16</f>
        <v>0.77859778597786</v>
      </c>
    </row>
    <row r="17" customFormat="false" ht="16.5" hidden="false" customHeight="true" outlineLevel="0" collapsed="false">
      <c r="A17" s="115" t="s">
        <v>52</v>
      </c>
      <c r="B17" s="116" t="s">
        <v>17</v>
      </c>
      <c r="C17" s="117" t="n">
        <v>1980</v>
      </c>
      <c r="D17" s="118" t="n">
        <v>1890</v>
      </c>
      <c r="E17" s="119" t="n">
        <v>1776</v>
      </c>
      <c r="F17" s="120"/>
      <c r="G17" s="121"/>
      <c r="H17" s="122" t="n">
        <f aca="false">SUM(C17:G17)</f>
        <v>5646</v>
      </c>
      <c r="I17" s="123" t="n">
        <f aca="false">(C17+D17)/H17</f>
        <v>0.685441020191286</v>
      </c>
    </row>
    <row r="18" customFormat="false" ht="16.5" hidden="false" customHeight="true" outlineLevel="0" collapsed="false">
      <c r="A18" s="124" t="s">
        <v>53</v>
      </c>
      <c r="B18" s="125" t="s">
        <v>17</v>
      </c>
      <c r="C18" s="126" t="n">
        <v>330</v>
      </c>
      <c r="D18" s="127" t="n">
        <v>378</v>
      </c>
      <c r="E18" s="128" t="n">
        <v>238</v>
      </c>
      <c r="F18" s="129" t="n">
        <v>100</v>
      </c>
      <c r="G18" s="130" t="n">
        <v>498</v>
      </c>
      <c r="H18" s="131" t="n">
        <f aca="false">SUM(C18:G18)</f>
        <v>1544</v>
      </c>
      <c r="I18" s="132" t="n">
        <f aca="false">(C18+D18)/H18</f>
        <v>0.458549222797928</v>
      </c>
    </row>
    <row r="19" customFormat="false" ht="19.5" hidden="false" customHeight="true" outlineLevel="0" collapsed="false">
      <c r="A19" s="46" t="s">
        <v>18</v>
      </c>
      <c r="B19" s="47"/>
      <c r="C19" s="48" t="n">
        <f aca="false">SUM(C3:C18)</f>
        <v>60766</v>
      </c>
      <c r="D19" s="48" t="n">
        <f aca="false">SUM(D3:D18)</f>
        <v>57905</v>
      </c>
      <c r="E19" s="48" t="n">
        <f aca="false">SUM(E3:E18)</f>
        <v>38179</v>
      </c>
      <c r="F19" s="48" t="n">
        <f aca="false">SUM(F3:F18)</f>
        <v>14078</v>
      </c>
      <c r="G19" s="48" t="n">
        <f aca="false">SUM(G3:G18)</f>
        <v>15933</v>
      </c>
      <c r="H19" s="48" t="n">
        <f aca="false">SUM(H3:H18)</f>
        <v>186861</v>
      </c>
      <c r="I19" s="50" t="n">
        <f aca="false">(C19+D19)/H19</f>
        <v>0.63507634016729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2026-03-05T15:29:36Z</dcterms:created>
  <dc:creator>openpyxl</dc:creator>
  <dc:description/>
  <dc:language>en-US</dc:language>
  <cp:lastModifiedBy/>
  <dcterms:modified xsi:type="dcterms:W3CDTF">2026-03-05T15:29:43Z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