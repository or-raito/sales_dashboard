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ales by Flavor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Monthly Detail" sheetId="4" state="visible" r:id="rId4"/>
    <sheet xmlns:r="http://schemas.openxmlformats.org/officeDocument/2006/relationships" name="Icedream Customers" sheetId="5" state="visible" r:id="rId5"/>
    <sheet xmlns:r="http://schemas.openxmlformats.org/officeDocument/2006/relationships" name="Ma'ayan Chai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₪#,##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b val="1"/>
      <color rgb="002C3E50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999999"/>
      <sz val="10"/>
    </font>
    <font>
      <name val="Arial"/>
      <b val="1"/>
      <color rgb="00F59E0B"/>
      <sz val="10"/>
    </font>
    <font>
      <name val="Arial"/>
      <b val="1"/>
      <color rgb="0010B981"/>
      <sz val="10"/>
    </font>
    <font>
      <name val="Arial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5" fillId="0" borderId="1" pivotButton="0" quotePrefix="0" xfId="0"/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6" fillId="0" borderId="1" pivotButton="0" quotePrefix="0" xfId="0"/>
    <xf numFmtId="3" fontId="6" fillId="0" borderId="1" applyAlignment="1" pivotButton="0" quotePrefix="0" xfId="0">
      <alignment horizontal="center"/>
    </xf>
    <xf numFmtId="0" fontId="2" fillId="0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Raito Dashboard — Overview</t>
        </is>
      </c>
    </row>
    <row r="3">
      <c r="A3" s="2" t="inlineStr">
        <is>
          <t>Period</t>
        </is>
      </c>
      <c r="B3" s="2" t="inlineStr">
        <is>
          <t>Total Units</t>
        </is>
      </c>
      <c r="C3" s="2" t="inlineStr">
        <is>
          <t>Total Revenue (₪)</t>
        </is>
      </c>
      <c r="D3" s="2" t="inlineStr">
        <is>
          <t>Ma'ayan Units</t>
        </is>
      </c>
      <c r="E3" s="2" t="inlineStr">
        <is>
          <t>Icedream Units</t>
        </is>
      </c>
      <c r="F3" s="2" t="inlineStr">
        <is>
          <t>Ma'ayan %</t>
        </is>
      </c>
      <c r="G3" s="2" t="inlineStr">
        <is>
          <t>Icedream %</t>
        </is>
      </c>
      <c r="H3" s="2" t="inlineStr">
        <is>
          <t>POS Count</t>
        </is>
      </c>
    </row>
    <row r="4">
      <c r="A4" s="3" t="inlineStr">
        <is>
          <t>Dec '25</t>
        </is>
      </c>
      <c r="B4" s="4" t="n">
        <v>83753</v>
      </c>
      <c r="C4" s="5" t="n">
        <v>1559374</v>
      </c>
      <c r="D4" s="4" t="n">
        <v>61739</v>
      </c>
      <c r="E4" s="4" t="n">
        <v>22014</v>
      </c>
      <c r="F4" s="6" t="n">
        <v>0.74</v>
      </c>
      <c r="G4" s="6" t="n">
        <v>0.26</v>
      </c>
      <c r="H4" s="4" t="n">
        <v>879</v>
      </c>
    </row>
    <row r="5">
      <c r="A5" s="3" t="inlineStr">
        <is>
          <t>Jan '26</t>
        </is>
      </c>
      <c r="B5" s="4" t="n">
        <v>51131</v>
      </c>
      <c r="C5" s="5" t="n">
        <v>1092105</v>
      </c>
      <c r="D5" s="4" t="n">
        <v>30353</v>
      </c>
      <c r="E5" s="4" t="n">
        <v>20778</v>
      </c>
      <c r="F5" s="6" t="n">
        <v>0.59</v>
      </c>
      <c r="G5" s="6" t="n">
        <v>0.41</v>
      </c>
      <c r="H5" s="4" t="n">
        <v>758</v>
      </c>
    </row>
    <row r="6">
      <c r="A6" s="3" t="inlineStr">
        <is>
          <t>Feb '26</t>
        </is>
      </c>
      <c r="B6" s="4" t="n">
        <v>58331</v>
      </c>
      <c r="C6" s="5" t="n">
        <v>1084381</v>
      </c>
      <c r="D6" s="4" t="n">
        <v>43777</v>
      </c>
      <c r="E6" s="4" t="n">
        <v>14554</v>
      </c>
      <c r="F6" s="6" t="n">
        <v>0.75</v>
      </c>
      <c r="G6" s="6" t="n">
        <v>0.25</v>
      </c>
      <c r="H6" s="4" t="n">
        <v>724</v>
      </c>
    </row>
    <row r="7">
      <c r="A7" s="7" t="inlineStr">
        <is>
          <t>Total</t>
        </is>
      </c>
      <c r="B7" s="8">
        <f>SUM(B4:B6)</f>
        <v/>
      </c>
      <c r="C7" s="9">
        <f>SUM(C4:C6)</f>
        <v/>
      </c>
      <c r="D7" s="8">
        <f>SUM(D4:D6)</f>
        <v/>
      </c>
      <c r="E7" s="8">
        <f>SUM(E4:E6)</f>
        <v/>
      </c>
      <c r="F7" s="10">
        <f>IF(B7&gt;0,D7/B7,0)</f>
        <v/>
      </c>
      <c r="G7" s="10">
        <f>IF(B7&gt;0,E7/B7,0)</f>
        <v/>
      </c>
      <c r="H7" s="8">
        <f>SUM(H4:H6)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Units Sold by Flavor — Monthly Breakdown</t>
        </is>
      </c>
    </row>
    <row r="3">
      <c r="A3" s="2" t="inlineStr">
        <is>
          <t>Product</t>
        </is>
      </c>
      <c r="B3" s="2" t="inlineStr">
        <is>
          <t>Dec '25</t>
        </is>
      </c>
      <c r="C3" s="2" t="inlineStr">
        <is>
          <t>Jan '26</t>
        </is>
      </c>
      <c r="D3" s="2" t="inlineStr">
        <is>
          <t>Feb '26</t>
        </is>
      </c>
      <c r="E3" s="2" t="inlineStr">
        <is>
          <t>Total</t>
        </is>
      </c>
      <c r="F3" s="2" t="inlineStr">
        <is>
          <t>Avg/Month</t>
        </is>
      </c>
      <c r="G3" s="2" t="inlineStr">
        <is>
          <t>Share %</t>
        </is>
      </c>
    </row>
    <row r="4">
      <c r="A4" s="7" t="inlineStr">
        <is>
          <t>Turbo Chocolate</t>
        </is>
      </c>
      <c r="B4" s="4" t="n">
        <v>28532</v>
      </c>
      <c r="C4" s="4" t="n">
        <v>17554</v>
      </c>
      <c r="D4" s="4" t="n">
        <v>14728</v>
      </c>
      <c r="E4" s="8">
        <f>SUM(B4:D4)</f>
        <v/>
      </c>
      <c r="F4" s="4">
        <f>IF(3&gt;0,E4/3,0)</f>
        <v/>
      </c>
      <c r="G4" s="6">
        <f>IF(E10&gt;0,E4/E10,0)</f>
        <v/>
      </c>
    </row>
    <row r="5">
      <c r="A5" s="7" t="inlineStr">
        <is>
          <t>Turbo Vanilla</t>
        </is>
      </c>
      <c r="B5" s="4" t="n">
        <v>27633</v>
      </c>
      <c r="C5" s="4" t="n">
        <v>15182</v>
      </c>
      <c r="D5" s="4" t="n">
        <v>15117</v>
      </c>
      <c r="E5" s="8">
        <f>SUM(B5:D5)</f>
        <v/>
      </c>
      <c r="F5" s="4">
        <f>IF(3&gt;0,E5/3,0)</f>
        <v/>
      </c>
      <c r="G5" s="6">
        <f>IF(E10&gt;0,E5/E10,0)</f>
        <v/>
      </c>
    </row>
    <row r="6">
      <c r="A6" s="7" t="inlineStr">
        <is>
          <t>Turbo Mango</t>
        </is>
      </c>
      <c r="B6" s="4" t="n">
        <v>19893</v>
      </c>
      <c r="C6" s="4" t="n">
        <v>9642</v>
      </c>
      <c r="D6" s="4" t="n">
        <v>8668</v>
      </c>
      <c r="E6" s="8">
        <f>SUM(B6:D6)</f>
        <v/>
      </c>
      <c r="F6" s="4">
        <f>IF(3&gt;0,E6/3,0)</f>
        <v/>
      </c>
      <c r="G6" s="6">
        <f>IF(E10&gt;0,E6/E10,0)</f>
        <v/>
      </c>
    </row>
    <row r="7">
      <c r="A7" s="7" t="inlineStr">
        <is>
          <t>Turbo Pistachio</t>
        </is>
      </c>
      <c r="B7" s="4" t="inlineStr"/>
      <c r="C7" s="4" t="inlineStr"/>
      <c r="D7" s="4" t="n">
        <v>14080</v>
      </c>
      <c r="E7" s="8">
        <f>SUM(B7:D7)</f>
        <v/>
      </c>
      <c r="F7" s="4">
        <f>IF(3&gt;0,E7/3,0)</f>
        <v/>
      </c>
      <c r="G7" s="6">
        <f>IF(E10&gt;0,E7/E10,0)</f>
        <v/>
      </c>
    </row>
    <row r="8">
      <c r="A8" s="7" t="inlineStr">
        <is>
          <t>Dani's Dream Cake</t>
        </is>
      </c>
      <c r="B8" s="4" t="n">
        <v>5970</v>
      </c>
      <c r="C8" s="4" t="n">
        <v>5888</v>
      </c>
      <c r="D8" s="4" t="n">
        <v>4073</v>
      </c>
      <c r="E8" s="8">
        <f>SUM(B8:D8)</f>
        <v/>
      </c>
      <c r="F8" s="4">
        <f>IF(3&gt;0,E8/3,0)</f>
        <v/>
      </c>
      <c r="G8" s="6">
        <f>IF(E10&gt;0,E8/E10,0)</f>
        <v/>
      </c>
    </row>
    <row r="9">
      <c r="A9" s="11" t="inlineStr">
        <is>
          <t>Turbo Magadat</t>
        </is>
      </c>
      <c r="B9" s="12" t="n">
        <v>1725</v>
      </c>
      <c r="C9" s="12" t="n">
        <v>2865</v>
      </c>
      <c r="D9" s="12" t="n">
        <v>1665</v>
      </c>
      <c r="E9" s="8">
        <f>SUM(B9:D9)</f>
        <v/>
      </c>
      <c r="F9" s="4">
        <f>IF(3&gt;0,E9/3,0)</f>
        <v/>
      </c>
      <c r="G9" s="6">
        <f>IF(E10&gt;0,E9/E10,0)</f>
        <v/>
      </c>
    </row>
    <row r="10">
      <c r="A10" s="7" t="inlineStr">
        <is>
          <t>Total</t>
        </is>
      </c>
      <c r="B10" s="8">
        <f>SUM(B4:B9)</f>
        <v/>
      </c>
      <c r="C10" s="8">
        <f>SUM(C4:C9)</f>
        <v/>
      </c>
      <c r="D10" s="8">
        <f>SUM(D4:D9)</f>
        <v/>
      </c>
      <c r="E10" s="8">
        <f>SUM(E4:E9)</f>
        <v/>
      </c>
      <c r="F10" s="8">
        <f>SUM(F4:F9)</f>
        <v/>
      </c>
      <c r="G10" s="10">
        <f>SUM(G4:G9)</f>
        <v/>
      </c>
    </row>
    <row r="13">
      <c r="A13" s="13" t="inlineStr">
        <is>
          <t>Sales Split by Distributor — Units</t>
        </is>
      </c>
    </row>
    <row r="14">
      <c r="A14" s="2" t="inlineStr">
        <is>
          <t>Product</t>
        </is>
      </c>
      <c r="B14" s="2" t="inlineStr">
        <is>
          <t>Distributor</t>
        </is>
      </c>
      <c r="C14" s="2" t="inlineStr">
        <is>
          <t>Dec '25</t>
        </is>
      </c>
      <c r="D14" s="2" t="inlineStr">
        <is>
          <t>Jan '26</t>
        </is>
      </c>
      <c r="E14" s="2" t="inlineStr">
        <is>
          <t>Feb '26</t>
        </is>
      </c>
      <c r="F14" s="2" t="inlineStr">
        <is>
          <t>Total</t>
        </is>
      </c>
    </row>
    <row r="15">
      <c r="A15" s="7" t="inlineStr">
        <is>
          <t>Turbo Chocolate</t>
        </is>
      </c>
      <c r="B15" s="3" t="inlineStr">
        <is>
          <t>Ma'ayan</t>
        </is>
      </c>
      <c r="C15" s="4" t="n">
        <v>23294</v>
      </c>
      <c r="D15" s="4" t="n">
        <v>13005</v>
      </c>
      <c r="E15" s="4" t="n">
        <v>12488</v>
      </c>
      <c r="F15" s="8">
        <f>SUM(C15:E15)</f>
        <v/>
      </c>
    </row>
    <row r="16">
      <c r="A16" s="14" t="inlineStr"/>
      <c r="B16" s="3" t="inlineStr">
        <is>
          <t>Icedream</t>
        </is>
      </c>
      <c r="C16" s="4" t="n">
        <v>5238</v>
      </c>
      <c r="D16" s="4" t="n">
        <v>4549</v>
      </c>
      <c r="E16" s="4" t="n">
        <v>2240</v>
      </c>
      <c r="F16" s="8">
        <f>SUM(C16:E16)</f>
        <v/>
      </c>
    </row>
    <row r="17">
      <c r="A17" s="7" t="inlineStr">
        <is>
          <t>Turbo Vanilla</t>
        </is>
      </c>
      <c r="B17" s="3" t="inlineStr">
        <is>
          <t>Ma'ayan</t>
        </is>
      </c>
      <c r="C17" s="4" t="n">
        <v>22173</v>
      </c>
      <c r="D17" s="4" t="n">
        <v>10850</v>
      </c>
      <c r="E17" s="4" t="n">
        <v>13197</v>
      </c>
      <c r="F17" s="8">
        <f>SUM(C17:E17)</f>
        <v/>
      </c>
    </row>
    <row r="18">
      <c r="A18" s="14" t="inlineStr"/>
      <c r="B18" s="3" t="inlineStr">
        <is>
          <t>Icedream</t>
        </is>
      </c>
      <c r="C18" s="4" t="n">
        <v>5460</v>
      </c>
      <c r="D18" s="4" t="n">
        <v>4332</v>
      </c>
      <c r="E18" s="4" t="n">
        <v>1920</v>
      </c>
      <c r="F18" s="8">
        <f>SUM(C18:E18)</f>
        <v/>
      </c>
    </row>
    <row r="19">
      <c r="A19" s="7" t="inlineStr">
        <is>
          <t>Turbo Mango</t>
        </is>
      </c>
      <c r="B19" s="3" t="inlineStr">
        <is>
          <t>Ma'ayan</t>
        </is>
      </c>
      <c r="C19" s="4" t="n">
        <v>16272</v>
      </c>
      <c r="D19" s="4" t="n">
        <v>6498</v>
      </c>
      <c r="E19" s="4" t="n">
        <v>7652</v>
      </c>
      <c r="F19" s="8">
        <f>SUM(C19:E19)</f>
        <v/>
      </c>
    </row>
    <row r="20">
      <c r="A20" s="14" t="inlineStr"/>
      <c r="B20" s="3" t="inlineStr">
        <is>
          <t>Icedream</t>
        </is>
      </c>
      <c r="C20" s="4" t="n">
        <v>3621</v>
      </c>
      <c r="D20" s="4" t="n">
        <v>3144</v>
      </c>
      <c r="E20" s="4" t="n">
        <v>1016</v>
      </c>
      <c r="F20" s="8">
        <f>SUM(C20:E20)</f>
        <v/>
      </c>
    </row>
    <row r="21">
      <c r="A21" s="7" t="inlineStr">
        <is>
          <t>Turbo Pistachio</t>
        </is>
      </c>
      <c r="B21" s="3" t="inlineStr">
        <is>
          <t>Ma'ayan</t>
        </is>
      </c>
      <c r="C21" s="4" t="inlineStr"/>
      <c r="D21" s="4" t="inlineStr"/>
      <c r="E21" s="4" t="n">
        <v>10440</v>
      </c>
      <c r="F21" s="8">
        <f>SUM(C21:E21)</f>
        <v/>
      </c>
    </row>
    <row r="22">
      <c r="A22" s="14" t="inlineStr"/>
      <c r="B22" s="3" t="inlineStr">
        <is>
          <t>Icedream</t>
        </is>
      </c>
      <c r="C22" s="4" t="inlineStr"/>
      <c r="D22" s="4" t="inlineStr"/>
      <c r="E22" s="4" t="n">
        <v>3640</v>
      </c>
      <c r="F22" s="8">
        <f>SUM(C22:E22)</f>
        <v/>
      </c>
    </row>
    <row r="23">
      <c r="A23" s="7" t="inlineStr">
        <is>
          <t>Dani's Dream Cake</t>
        </is>
      </c>
      <c r="B23" s="3" t="inlineStr">
        <is>
          <t>Ma'ayan</t>
        </is>
      </c>
      <c r="C23" s="4" t="inlineStr"/>
      <c r="D23" s="4" t="inlineStr"/>
      <c r="E23" s="4" t="inlineStr"/>
      <c r="F23" s="8">
        <f>SUM(C23:E23)</f>
        <v/>
      </c>
    </row>
    <row r="24">
      <c r="A24" s="14" t="inlineStr"/>
      <c r="B24" s="3" t="inlineStr">
        <is>
          <t>Icedream</t>
        </is>
      </c>
      <c r="C24" s="4" t="n">
        <v>5970</v>
      </c>
      <c r="D24" s="4" t="n">
        <v>5888</v>
      </c>
      <c r="E24" s="4" t="n">
        <v>4073</v>
      </c>
      <c r="F24" s="8">
        <f>SUM(C24:E24)</f>
        <v/>
      </c>
    </row>
    <row r="25">
      <c r="A25" s="7" t="inlineStr">
        <is>
          <t>Turbo Magadat</t>
        </is>
      </c>
      <c r="B25" s="3" t="inlineStr">
        <is>
          <t>Ma'ayan</t>
        </is>
      </c>
      <c r="C25" s="4" t="inlineStr"/>
      <c r="D25" s="4" t="inlineStr"/>
      <c r="E25" s="4" t="inlineStr"/>
      <c r="F25" s="8">
        <f>SUM(C25:E25)</f>
        <v/>
      </c>
    </row>
    <row r="26">
      <c r="A26" s="14" t="inlineStr"/>
      <c r="B26" s="3" t="inlineStr">
        <is>
          <t>Icedream</t>
        </is>
      </c>
      <c r="C26" s="4" t="n">
        <v>1725</v>
      </c>
      <c r="D26" s="4" t="n">
        <v>2865</v>
      </c>
      <c r="E26" s="4" t="n">
        <v>1665</v>
      </c>
      <c r="F26" s="8">
        <f>SUM(C26:E26)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4" customWidth="1" min="4" max="4"/>
    <col width="10" customWidth="1" min="5" max="5"/>
    <col width="14" customWidth="1" min="6" max="6"/>
    <col width="10" customWidth="1" min="7" max="7"/>
    <col width="18" customWidth="1" min="8" max="8"/>
    <col width="10" customWidth="1" min="9" max="9"/>
  </cols>
  <sheetData>
    <row r="1">
      <c r="A1" s="1" t="inlineStr">
        <is>
          <t>Inventory &amp; Production Planning</t>
        </is>
      </c>
    </row>
    <row r="3">
      <c r="A3" s="13" t="inlineStr">
        <is>
          <t>Total Available Stock — All Locations</t>
        </is>
      </c>
    </row>
    <row r="4">
      <c r="A4" s="2" t="inlineStr">
        <is>
          <t>Product</t>
        </is>
      </c>
      <c r="B4" s="2" t="inlineStr">
        <is>
          <t>Warehouse (Karfree)</t>
        </is>
      </c>
      <c r="C4" s="2" t="inlineStr">
        <is>
          <t>Pallets</t>
        </is>
      </c>
      <c r="D4" s="2" t="inlineStr">
        <is>
          <t>Icedream</t>
        </is>
      </c>
      <c r="E4" s="2" t="inlineStr">
        <is>
          <t>Pallets</t>
        </is>
      </c>
      <c r="F4" s="2" t="inlineStr">
        <is>
          <t>Ma'ayan</t>
        </is>
      </c>
      <c r="G4" s="2" t="inlineStr">
        <is>
          <t>Pallets</t>
        </is>
      </c>
      <c r="H4" s="2" t="inlineStr">
        <is>
          <t>Total Available</t>
        </is>
      </c>
      <c r="I4" s="2" t="inlineStr">
        <is>
          <t>Pallets</t>
        </is>
      </c>
    </row>
    <row r="5">
      <c r="A5" s="7" t="inlineStr">
        <is>
          <t>Turbo Chocolate</t>
        </is>
      </c>
      <c r="B5" s="4" t="n">
        <v>16800</v>
      </c>
      <c r="C5" s="3" t="n">
        <v>7</v>
      </c>
      <c r="D5" s="4" t="n">
        <v>1626</v>
      </c>
      <c r="E5" s="3" t="n">
        <v>0.7</v>
      </c>
      <c r="F5" s="4" t="n">
        <v>4704</v>
      </c>
      <c r="G5" s="3" t="n">
        <v>2</v>
      </c>
      <c r="H5" s="8">
        <f>SUM(B5,D5,F5)</f>
        <v/>
      </c>
      <c r="I5" s="15" t="n">
        <v>9.6</v>
      </c>
    </row>
    <row r="6">
      <c r="A6" s="7" t="inlineStr">
        <is>
          <t>Turbo Vanilla</t>
        </is>
      </c>
      <c r="B6" s="4" t="n">
        <v>25830</v>
      </c>
      <c r="C6" s="3" t="n">
        <v>10.8</v>
      </c>
      <c r="D6" s="4" t="n">
        <v>1791</v>
      </c>
      <c r="E6" s="3" t="n">
        <v>0.7</v>
      </c>
      <c r="F6" s="4" t="n">
        <v>4265</v>
      </c>
      <c r="G6" s="3" t="n">
        <v>1.8</v>
      </c>
      <c r="H6" s="8">
        <f>SUM(B6,D6,F6)</f>
        <v/>
      </c>
      <c r="I6" s="15" t="n">
        <v>13.3</v>
      </c>
    </row>
    <row r="7">
      <c r="A7" s="7" t="inlineStr">
        <is>
          <t>Turbo Mango</t>
        </is>
      </c>
      <c r="B7" s="4" t="n">
        <v>28800</v>
      </c>
      <c r="C7" s="3" t="n">
        <v>12</v>
      </c>
      <c r="D7" s="4" t="n">
        <v>1585</v>
      </c>
      <c r="E7" s="3" t="n">
        <v>0.7</v>
      </c>
      <c r="F7" s="4" t="n">
        <v>1001</v>
      </c>
      <c r="G7" s="3" t="n">
        <v>0.4</v>
      </c>
      <c r="H7" s="8">
        <f>SUM(B7,D7,F7)</f>
        <v/>
      </c>
      <c r="I7" s="15" t="n">
        <v>13.1</v>
      </c>
    </row>
    <row r="8">
      <c r="A8" s="7" t="inlineStr">
        <is>
          <t>Turbo Pistachio</t>
        </is>
      </c>
      <c r="B8" s="4" t="inlineStr"/>
      <c r="C8" s="3" t="inlineStr"/>
      <c r="D8" s="4" t="n">
        <v>2296</v>
      </c>
      <c r="E8" s="3" t="n">
        <v>1</v>
      </c>
      <c r="F8" s="4" t="n">
        <v>4160</v>
      </c>
      <c r="G8" s="3" t="n">
        <v>1.7</v>
      </c>
      <c r="H8" s="8">
        <f>SUM(B8,D8,F8)</f>
        <v/>
      </c>
      <c r="I8" s="15" t="n">
        <v>2.7</v>
      </c>
    </row>
    <row r="9">
      <c r="A9" s="7" t="inlineStr">
        <is>
          <t>Dani's Dream Cake</t>
        </is>
      </c>
      <c r="B9" s="4" t="inlineStr"/>
      <c r="C9" s="3" t="inlineStr">
        <is>
          <t>-</t>
        </is>
      </c>
      <c r="D9" s="4" t="n">
        <v>1304</v>
      </c>
      <c r="E9" s="3" t="inlineStr">
        <is>
          <t>-</t>
        </is>
      </c>
      <c r="F9" s="4" t="inlineStr"/>
      <c r="G9" s="3" t="inlineStr">
        <is>
          <t>-</t>
        </is>
      </c>
      <c r="H9" s="8">
        <f>SUM(B9,D9,F9)</f>
        <v/>
      </c>
      <c r="I9" s="15" t="inlineStr">
        <is>
          <t>-</t>
        </is>
      </c>
    </row>
    <row r="10">
      <c r="A10" s="7" t="inlineStr">
        <is>
          <t>Total</t>
        </is>
      </c>
      <c r="B10" s="8">
        <f>SUM(B5:B9)</f>
        <v/>
      </c>
      <c r="C10" s="15">
        <f>ROUND(B10/2400,1)</f>
        <v/>
      </c>
      <c r="D10" s="8">
        <f>SUM(D5:D9)</f>
        <v/>
      </c>
      <c r="E10" s="15">
        <f>ROUND(D10/2400,1)</f>
        <v/>
      </c>
      <c r="F10" s="8">
        <f>SUM(F5:F9)</f>
        <v/>
      </c>
      <c r="G10" s="15">
        <f>ROUND(F10/2400,1)</f>
        <v/>
      </c>
      <c r="H10" s="8">
        <f>SUM(H5:H9)</f>
        <v/>
      </c>
      <c r="I10" s="15">
        <f>ROUND(H10/2400,1)</f>
        <v/>
      </c>
    </row>
    <row r="13">
      <c r="A13" s="13" t="inlineStr">
        <is>
          <t>Transfer Warehouse (Karfree) — as of 04/03/2026</t>
        </is>
      </c>
    </row>
    <row r="14">
      <c r="A14" s="2" t="inlineStr">
        <is>
          <t>Product</t>
        </is>
      </c>
      <c r="B14" s="2" t="inlineStr">
        <is>
          <t>Units</t>
        </is>
      </c>
      <c r="C14" s="2" t="inlineStr">
        <is>
          <t>Pallets</t>
        </is>
      </c>
      <c r="D14" s="2" t="inlineStr">
        <is>
          <t>Share %</t>
        </is>
      </c>
      <c r="E14" s="2" t="inlineStr">
        <is>
          <t>Earliest Expiry</t>
        </is>
      </c>
      <c r="F14" s="2" t="inlineStr">
        <is>
          <t>Latest Expiry</t>
        </is>
      </c>
    </row>
    <row r="15">
      <c r="A15" s="7" t="inlineStr">
        <is>
          <t>Turbo Chocolate</t>
        </is>
      </c>
      <c r="B15" s="4" t="n">
        <v>16800</v>
      </c>
      <c r="C15" s="3" t="n">
        <v>7</v>
      </c>
      <c r="D15" s="6" t="n">
        <v>0.235</v>
      </c>
      <c r="E15" s="3" t="inlineStr">
        <is>
          <t>01/12/2026</t>
        </is>
      </c>
      <c r="F15" s="3" t="inlineStr">
        <is>
          <t>18/12/2026</t>
        </is>
      </c>
    </row>
    <row r="16">
      <c r="A16" s="7" t="inlineStr">
        <is>
          <t>Turbo Vanilla</t>
        </is>
      </c>
      <c r="B16" s="4" t="n">
        <v>25830</v>
      </c>
      <c r="C16" s="3" t="n">
        <v>10.8</v>
      </c>
      <c r="D16" s="6" t="n">
        <v>0.362</v>
      </c>
      <c r="E16" s="3" t="inlineStr">
        <is>
          <t>01/02/2027</t>
        </is>
      </c>
      <c r="F16" s="3" t="inlineStr">
        <is>
          <t>17/12/2026</t>
        </is>
      </c>
    </row>
    <row r="17">
      <c r="A17" s="7" t="inlineStr">
        <is>
          <t>Turbo Mango</t>
        </is>
      </c>
      <c r="B17" s="4" t="n">
        <v>28800</v>
      </c>
      <c r="C17" s="3" t="n">
        <v>12</v>
      </c>
      <c r="D17" s="6" t="n">
        <v>0.403</v>
      </c>
      <c r="E17" s="3" t="inlineStr">
        <is>
          <t>01/12/2026</t>
        </is>
      </c>
      <c r="F17" s="3" t="inlineStr">
        <is>
          <t>24/12/2026</t>
        </is>
      </c>
    </row>
    <row r="20">
      <c r="A20" s="13" t="inlineStr">
        <is>
          <t>Distributor Inventory (Icedream) — as of 4/3/2026</t>
        </is>
      </c>
    </row>
    <row r="21">
      <c r="A21" s="2" t="inlineStr">
        <is>
          <t>Product</t>
        </is>
      </c>
      <c r="B21" s="2" t="inlineStr">
        <is>
          <t>Units</t>
        </is>
      </c>
      <c r="C21" s="2" t="inlineStr">
        <is>
          <t>Pallets</t>
        </is>
      </c>
      <c r="D21" s="2" t="inlineStr">
        <is>
          <t>Share %</t>
        </is>
      </c>
    </row>
    <row r="22">
      <c r="A22" s="7" t="inlineStr">
        <is>
          <t>Turbo Chocolate</t>
        </is>
      </c>
      <c r="B22" s="4" t="n">
        <v>1626</v>
      </c>
      <c r="C22" s="3" t="n">
        <v>0.7</v>
      </c>
      <c r="D22" s="6" t="n">
        <v>0.189</v>
      </c>
    </row>
    <row r="23">
      <c r="A23" s="7" t="inlineStr">
        <is>
          <t>Turbo Vanilla</t>
        </is>
      </c>
      <c r="B23" s="4" t="n">
        <v>1791</v>
      </c>
      <c r="C23" s="3" t="n">
        <v>0.7</v>
      </c>
      <c r="D23" s="6" t="n">
        <v>0.208</v>
      </c>
    </row>
    <row r="24">
      <c r="A24" s="7" t="inlineStr">
        <is>
          <t>Turbo Mango</t>
        </is>
      </c>
      <c r="B24" s="4" t="n">
        <v>1585</v>
      </c>
      <c r="C24" s="3" t="n">
        <v>0.7</v>
      </c>
      <c r="D24" s="6" t="n">
        <v>0.184</v>
      </c>
    </row>
    <row r="25">
      <c r="A25" s="7" t="inlineStr">
        <is>
          <t>Turbo Pistachio</t>
        </is>
      </c>
      <c r="B25" s="4" t="n">
        <v>2296</v>
      </c>
      <c r="C25" s="3" t="n">
        <v>1</v>
      </c>
      <c r="D25" s="6" t="n">
        <v>0.267</v>
      </c>
    </row>
    <row r="26">
      <c r="A26" s="7" t="inlineStr">
        <is>
          <t>Dani's Dream Cake</t>
        </is>
      </c>
      <c r="B26" s="4" t="n">
        <v>1304</v>
      </c>
      <c r="C26" s="3" t="inlineStr">
        <is>
          <t>-</t>
        </is>
      </c>
      <c r="D26" s="6" t="n">
        <v>0.152</v>
      </c>
    </row>
    <row r="29">
      <c r="A29" s="13" t="inlineStr">
        <is>
          <t>Distributor Inventory (Ma'ayan) — as of 4/3/2026</t>
        </is>
      </c>
    </row>
    <row r="30">
      <c r="A30" s="2" t="inlineStr">
        <is>
          <t>Product</t>
        </is>
      </c>
      <c r="B30" s="2" t="inlineStr">
        <is>
          <t>Units</t>
        </is>
      </c>
      <c r="C30" s="2" t="inlineStr">
        <is>
          <t>Pallets</t>
        </is>
      </c>
      <c r="D30" s="2" t="inlineStr">
        <is>
          <t>Share %</t>
        </is>
      </c>
    </row>
    <row r="31">
      <c r="A31" s="7" t="inlineStr">
        <is>
          <t>Turbo Chocolate</t>
        </is>
      </c>
      <c r="B31" s="4" t="n">
        <v>4704</v>
      </c>
      <c r="C31" s="3" t="n">
        <v>2</v>
      </c>
      <c r="D31" s="6" t="n">
        <v>0.333</v>
      </c>
    </row>
    <row r="32">
      <c r="A32" s="7" t="inlineStr">
        <is>
          <t>Turbo Vanilla</t>
        </is>
      </c>
      <c r="B32" s="4" t="n">
        <v>4265</v>
      </c>
      <c r="C32" s="3" t="n">
        <v>1.8</v>
      </c>
      <c r="D32" s="6" t="n">
        <v>0.302</v>
      </c>
    </row>
    <row r="33">
      <c r="A33" s="7" t="inlineStr">
        <is>
          <t>Turbo Mango</t>
        </is>
      </c>
      <c r="B33" s="4" t="n">
        <v>1001</v>
      </c>
      <c r="C33" s="3" t="n">
        <v>0.4</v>
      </c>
      <c r="D33" s="6" t="n">
        <v>0.07099999999999999</v>
      </c>
    </row>
    <row r="34">
      <c r="A34" s="7" t="inlineStr">
        <is>
          <t>Turbo Pistachio</t>
        </is>
      </c>
      <c r="B34" s="4" t="n">
        <v>4160</v>
      </c>
      <c r="C34" s="3" t="n">
        <v>1.7</v>
      </c>
      <c r="D34" s="6" t="n">
        <v>0.294</v>
      </c>
    </row>
    <row r="38">
      <c r="A38" s="13" t="inlineStr">
        <is>
          <t>Inventory Coverage &amp; Production Planning (target: 1 month stock)</t>
        </is>
      </c>
    </row>
    <row r="39">
      <c r="A39" s="2" t="inlineStr">
        <is>
          <t>Product</t>
        </is>
      </c>
      <c r="B39" s="2" t="inlineStr">
        <is>
          <t>Avg Sales/Mo</t>
        </is>
      </c>
      <c r="C39" s="2" t="inlineStr">
        <is>
          <t>Last Month</t>
        </is>
      </c>
      <c r="D39" s="2" t="inlineStr">
        <is>
          <t>Current Stock</t>
        </is>
      </c>
      <c r="E39" s="2" t="inlineStr">
        <is>
          <t>Pallets</t>
        </is>
      </c>
      <c r="F39" s="2" t="inlineStr">
        <is>
          <t>Months of Stock</t>
        </is>
      </c>
      <c r="G39" s="2" t="inlineStr">
        <is>
          <t>Status</t>
        </is>
      </c>
      <c r="H39" s="2" t="inlineStr">
        <is>
          <t>Suggested Production</t>
        </is>
      </c>
      <c r="I39" s="2" t="inlineStr">
        <is>
          <t>Pallets</t>
        </is>
      </c>
    </row>
    <row r="40">
      <c r="A40" s="7" t="inlineStr">
        <is>
          <t>Turbo Chocolate</t>
        </is>
      </c>
      <c r="B40" s="4" t="n">
        <v>20271</v>
      </c>
      <c r="C40" s="4" t="n">
        <v>14728</v>
      </c>
      <c r="D40" s="8" t="n">
        <v>23130</v>
      </c>
      <c r="E40" s="3" t="n">
        <v>9.6</v>
      </c>
      <c r="F40" s="3" t="n">
        <v>1.1</v>
      </c>
      <c r="G40" s="16" t="inlineStr">
        <is>
          <t>Low</t>
        </is>
      </c>
      <c r="H40" s="8" t="n">
        <v>0</v>
      </c>
      <c r="I40" s="3" t="n">
        <v>0</v>
      </c>
    </row>
    <row r="41">
      <c r="A41" s="7" t="inlineStr">
        <is>
          <t>Turbo Vanilla</t>
        </is>
      </c>
      <c r="B41" s="4" t="n">
        <v>19311</v>
      </c>
      <c r="C41" s="4" t="n">
        <v>15117</v>
      </c>
      <c r="D41" s="8" t="n">
        <v>31886</v>
      </c>
      <c r="E41" s="3" t="n">
        <v>13.3</v>
      </c>
      <c r="F41" s="3" t="n">
        <v>1.7</v>
      </c>
      <c r="G41" s="17" t="inlineStr">
        <is>
          <t>OK</t>
        </is>
      </c>
      <c r="H41" s="8" t="n">
        <v>0</v>
      </c>
      <c r="I41" s="3" t="n">
        <v>0</v>
      </c>
    </row>
    <row r="42">
      <c r="A42" s="7" t="inlineStr">
        <is>
          <t>Turbo Mango</t>
        </is>
      </c>
      <c r="B42" s="4" t="n">
        <v>12734</v>
      </c>
      <c r="C42" s="4" t="n">
        <v>8668</v>
      </c>
      <c r="D42" s="8" t="n">
        <v>31386</v>
      </c>
      <c r="E42" s="3" t="n">
        <v>13.1</v>
      </c>
      <c r="F42" s="3" t="n">
        <v>2.5</v>
      </c>
      <c r="G42" s="17" t="inlineStr">
        <is>
          <t>OK</t>
        </is>
      </c>
      <c r="H42" s="8" t="n">
        <v>0</v>
      </c>
      <c r="I42" s="3" t="n">
        <v>0</v>
      </c>
    </row>
    <row r="43">
      <c r="A43" s="7" t="inlineStr">
        <is>
          <t>Turbo Pistachio</t>
        </is>
      </c>
      <c r="B43" s="4" t="n">
        <v>4693</v>
      </c>
      <c r="C43" s="4" t="n">
        <v>14080</v>
      </c>
      <c r="D43" s="8" t="n">
        <v>6456</v>
      </c>
      <c r="E43" s="3" t="n">
        <v>2.7</v>
      </c>
      <c r="F43" s="3" t="n">
        <v>1.4</v>
      </c>
      <c r="G43" s="16" t="inlineStr">
        <is>
          <t>Low</t>
        </is>
      </c>
      <c r="H43" s="8" t="n">
        <v>0</v>
      </c>
      <c r="I43" s="3" t="n">
        <v>0</v>
      </c>
    </row>
    <row r="44">
      <c r="A44" s="7" t="inlineStr">
        <is>
          <t>Dani's Dream Cake</t>
        </is>
      </c>
      <c r="B44" s="4" t="n">
        <v>5310</v>
      </c>
      <c r="C44" s="4" t="n">
        <v>4073</v>
      </c>
      <c r="D44" s="8" t="n">
        <v>1304</v>
      </c>
      <c r="E44" s="3" t="inlineStr">
        <is>
          <t>-</t>
        </is>
      </c>
      <c r="F44" s="3" t="n">
        <v>0.2</v>
      </c>
      <c r="G44" s="18" t="inlineStr">
        <is>
          <t>Critical</t>
        </is>
      </c>
      <c r="H44" s="8" t="n">
        <v>4006</v>
      </c>
      <c r="I44" s="3" t="inlineStr">
        <is>
          <t>-</t>
        </is>
      </c>
    </row>
    <row r="45">
      <c r="A45" s="7" t="inlineStr">
        <is>
          <t>Turbo Magadat</t>
        </is>
      </c>
      <c r="B45" s="4" t="n">
        <v>2085</v>
      </c>
      <c r="C45" s="4" t="n">
        <v>1665</v>
      </c>
      <c r="D45" s="8" t="n">
        <v>0</v>
      </c>
      <c r="E45" s="3" t="n">
        <v>0</v>
      </c>
      <c r="F45" s="3" t="n">
        <v>0</v>
      </c>
      <c r="G45" s="18" t="inlineStr">
        <is>
          <t>Critical</t>
        </is>
      </c>
      <c r="H45" s="8" t="n">
        <v>2085</v>
      </c>
      <c r="I45" s="3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8" customWidth="1" min="4" max="4"/>
    <col width="18" customWidth="1" min="5" max="5"/>
    <col width="16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Monthly Sales — Product Detail</t>
        </is>
      </c>
    </row>
    <row r="3">
      <c r="A3" s="2" t="inlineStr">
        <is>
          <t>Month</t>
        </is>
      </c>
      <c r="B3" s="2" t="inlineStr">
        <is>
          <t>Product</t>
        </is>
      </c>
      <c r="C3" s="2" t="inlineStr">
        <is>
          <t>Status</t>
        </is>
      </c>
      <c r="D3" s="2" t="inlineStr">
        <is>
          <t>Ma'ayan (units)</t>
        </is>
      </c>
      <c r="E3" s="2" t="inlineStr">
        <is>
          <t>Icedream (units)</t>
        </is>
      </c>
      <c r="F3" s="2" t="inlineStr">
        <is>
          <t>Total Units</t>
        </is>
      </c>
      <c r="G3" s="2" t="inlineStr">
        <is>
          <t>Ma'ayan Revenue (₪)</t>
        </is>
      </c>
      <c r="H3" s="2" t="inlineStr">
        <is>
          <t>Icedream Revenue (₪)</t>
        </is>
      </c>
      <c r="I3" s="2" t="inlineStr">
        <is>
          <t>Total Revenue (₪)</t>
        </is>
      </c>
    </row>
    <row r="4">
      <c r="A4" s="3" t="inlineStr">
        <is>
          <t>Dec '25</t>
        </is>
      </c>
      <c r="B4" s="3" t="inlineStr">
        <is>
          <t>Turbo Chocolate</t>
        </is>
      </c>
      <c r="C4" s="3" t="inlineStr">
        <is>
          <t>Active</t>
        </is>
      </c>
      <c r="D4" s="4" t="n">
        <v>23294</v>
      </c>
      <c r="E4" s="4" t="n">
        <v>5238</v>
      </c>
      <c r="F4" s="4" t="n">
        <v>28532</v>
      </c>
      <c r="G4" s="5" t="n">
        <v>321457.2</v>
      </c>
      <c r="H4" s="5" t="n">
        <v>72049.88</v>
      </c>
      <c r="I4" s="5" t="n">
        <v>393507.08</v>
      </c>
    </row>
    <row r="5">
      <c r="A5" s="3" t="inlineStr">
        <is>
          <t>Dec '25</t>
        </is>
      </c>
      <c r="B5" s="3" t="inlineStr">
        <is>
          <t>Turbo Vanilla</t>
        </is>
      </c>
      <c r="C5" s="3" t="inlineStr">
        <is>
          <t>Active</t>
        </is>
      </c>
      <c r="D5" s="4" t="n">
        <v>22173</v>
      </c>
      <c r="E5" s="4" t="n">
        <v>5460</v>
      </c>
      <c r="F5" s="4" t="n">
        <v>27633</v>
      </c>
      <c r="G5" s="5" t="n">
        <v>305987.4</v>
      </c>
      <c r="H5" s="5" t="n">
        <v>75081.72</v>
      </c>
      <c r="I5" s="5" t="n">
        <v>381069.12</v>
      </c>
    </row>
    <row r="6">
      <c r="A6" s="3" t="inlineStr">
        <is>
          <t>Dec '25</t>
        </is>
      </c>
      <c r="B6" s="3" t="inlineStr">
        <is>
          <t>Turbo Mango</t>
        </is>
      </c>
      <c r="C6" s="3" t="inlineStr">
        <is>
          <t>Active</t>
        </is>
      </c>
      <c r="D6" s="4" t="n">
        <v>16272</v>
      </c>
      <c r="E6" s="4" t="n">
        <v>3621</v>
      </c>
      <c r="F6" s="4" t="n">
        <v>19893</v>
      </c>
      <c r="G6" s="5" t="n">
        <v>224553.6</v>
      </c>
      <c r="H6" s="5" t="n">
        <v>49683.48</v>
      </c>
      <c r="I6" s="5" t="n">
        <v>274237.08</v>
      </c>
    </row>
    <row r="7">
      <c r="A7" s="19" t="inlineStr">
        <is>
          <t>Dec '25</t>
        </is>
      </c>
      <c r="B7" s="19" t="inlineStr">
        <is>
          <t>Turbo Magadat</t>
        </is>
      </c>
      <c r="C7" s="19" t="inlineStr">
        <is>
          <t>Discontinued</t>
        </is>
      </c>
      <c r="D7" s="12" t="n">
        <v>0</v>
      </c>
      <c r="E7" s="12" t="n">
        <v>1725</v>
      </c>
      <c r="F7" s="12" t="n">
        <v>1725</v>
      </c>
      <c r="G7" s="20" t="n">
        <v>0</v>
      </c>
      <c r="H7" s="20" t="n">
        <v>20895.24</v>
      </c>
      <c r="I7" s="20" t="n">
        <v>20895.24</v>
      </c>
    </row>
    <row r="8">
      <c r="A8" s="3" t="inlineStr">
        <is>
          <t>Dec '25</t>
        </is>
      </c>
      <c r="B8" s="3" t="inlineStr">
        <is>
          <t>Dani's Dream Cake</t>
        </is>
      </c>
      <c r="C8" s="3" t="inlineStr">
        <is>
          <t>Active</t>
        </is>
      </c>
      <c r="D8" s="4" t="n">
        <v>0</v>
      </c>
      <c r="E8" s="4" t="n">
        <v>5970</v>
      </c>
      <c r="F8" s="4" t="n">
        <v>5970</v>
      </c>
      <c r="G8" s="5" t="n">
        <v>0</v>
      </c>
      <c r="H8" s="5" t="n">
        <v>489665.6</v>
      </c>
      <c r="I8" s="5" t="n">
        <v>489665.6</v>
      </c>
    </row>
    <row r="9">
      <c r="A9" s="3" t="inlineStr">
        <is>
          <t>Jan '26</t>
        </is>
      </c>
      <c r="B9" s="3" t="inlineStr">
        <is>
          <t>Turbo Chocolate</t>
        </is>
      </c>
      <c r="C9" s="3" t="inlineStr">
        <is>
          <t>Active</t>
        </is>
      </c>
      <c r="D9" s="4" t="n">
        <v>13005</v>
      </c>
      <c r="E9" s="4" t="n">
        <v>4549</v>
      </c>
      <c r="F9" s="4" t="n">
        <v>17554</v>
      </c>
      <c r="G9" s="5" t="n">
        <v>179469</v>
      </c>
      <c r="H9" s="5" t="n">
        <v>55951.53999999996</v>
      </c>
      <c r="I9" s="5" t="n">
        <v>235420.54</v>
      </c>
    </row>
    <row r="10">
      <c r="A10" s="3" t="inlineStr">
        <is>
          <t>Jan '26</t>
        </is>
      </c>
      <c r="B10" s="3" t="inlineStr">
        <is>
          <t>Turbo Vanilla</t>
        </is>
      </c>
      <c r="C10" s="3" t="inlineStr">
        <is>
          <t>Active</t>
        </is>
      </c>
      <c r="D10" s="4" t="n">
        <v>10850</v>
      </c>
      <c r="E10" s="4" t="n">
        <v>4332</v>
      </c>
      <c r="F10" s="4" t="n">
        <v>15182</v>
      </c>
      <c r="G10" s="5" t="n">
        <v>149730</v>
      </c>
      <c r="H10" s="5" t="n">
        <v>54716.73999999995</v>
      </c>
      <c r="I10" s="5" t="n">
        <v>204446.74</v>
      </c>
    </row>
    <row r="11">
      <c r="A11" s="3" t="inlineStr">
        <is>
          <t>Jan '26</t>
        </is>
      </c>
      <c r="B11" s="3" t="inlineStr">
        <is>
          <t>Turbo Mango</t>
        </is>
      </c>
      <c r="C11" s="3" t="inlineStr">
        <is>
          <t>Active</t>
        </is>
      </c>
      <c r="D11" s="4" t="n">
        <v>6498</v>
      </c>
      <c r="E11" s="4" t="n">
        <v>3144</v>
      </c>
      <c r="F11" s="4" t="n">
        <v>9642</v>
      </c>
      <c r="G11" s="5" t="n">
        <v>89672.39999999999</v>
      </c>
      <c r="H11" s="5" t="n">
        <v>38762.44999999997</v>
      </c>
      <c r="I11" s="5" t="n">
        <v>128434.85</v>
      </c>
    </row>
    <row r="12">
      <c r="A12" s="19" t="inlineStr">
        <is>
          <t>Jan '26</t>
        </is>
      </c>
      <c r="B12" s="19" t="inlineStr">
        <is>
          <t>Turbo Magadat</t>
        </is>
      </c>
      <c r="C12" s="19" t="inlineStr">
        <is>
          <t>Discontinued</t>
        </is>
      </c>
      <c r="D12" s="12" t="n">
        <v>0</v>
      </c>
      <c r="E12" s="12" t="n">
        <v>2865</v>
      </c>
      <c r="F12" s="12" t="n">
        <v>2865</v>
      </c>
      <c r="G12" s="20" t="n">
        <v>0</v>
      </c>
      <c r="H12" s="20" t="n">
        <v>33557.46000000001</v>
      </c>
      <c r="I12" s="20" t="n">
        <v>33557.46</v>
      </c>
    </row>
    <row r="13">
      <c r="A13" s="3" t="inlineStr">
        <is>
          <t>Jan '26</t>
        </is>
      </c>
      <c r="B13" s="3" t="inlineStr">
        <is>
          <t>Dani's Dream Cake</t>
        </is>
      </c>
      <c r="C13" s="3" t="inlineStr">
        <is>
          <t>Active</t>
        </is>
      </c>
      <c r="D13" s="4" t="n">
        <v>0</v>
      </c>
      <c r="E13" s="4" t="n">
        <v>5888</v>
      </c>
      <c r="F13" s="4" t="n">
        <v>5888</v>
      </c>
      <c r="G13" s="5" t="n">
        <v>0</v>
      </c>
      <c r="H13" s="5" t="n">
        <v>490245.23</v>
      </c>
      <c r="I13" s="5" t="n">
        <v>490245.23</v>
      </c>
    </row>
    <row r="14">
      <c r="A14" s="3" t="inlineStr">
        <is>
          <t>Feb '26</t>
        </is>
      </c>
      <c r="B14" s="3" t="inlineStr">
        <is>
          <t>Turbo Chocolate</t>
        </is>
      </c>
      <c r="C14" s="3" t="inlineStr">
        <is>
          <t>Active</t>
        </is>
      </c>
      <c r="D14" s="4" t="n">
        <v>12488</v>
      </c>
      <c r="E14" s="4" t="n">
        <v>2240</v>
      </c>
      <c r="F14" s="4" t="n">
        <v>14728</v>
      </c>
      <c r="G14" s="5" t="n">
        <v>172334.4</v>
      </c>
      <c r="H14" s="5" t="n">
        <v>30821.34</v>
      </c>
      <c r="I14" s="5" t="n">
        <v>203155.74</v>
      </c>
    </row>
    <row r="15">
      <c r="A15" s="3" t="inlineStr">
        <is>
          <t>Feb '26</t>
        </is>
      </c>
      <c r="B15" s="3" t="inlineStr">
        <is>
          <t>Turbo Vanilla</t>
        </is>
      </c>
      <c r="C15" s="3" t="inlineStr">
        <is>
          <t>Active</t>
        </is>
      </c>
      <c r="D15" s="4" t="n">
        <v>13197</v>
      </c>
      <c r="E15" s="4" t="n">
        <v>1920</v>
      </c>
      <c r="F15" s="4" t="n">
        <v>15117</v>
      </c>
      <c r="G15" s="5" t="n">
        <v>182118.6</v>
      </c>
      <c r="H15" s="5" t="n">
        <v>27193.56</v>
      </c>
      <c r="I15" s="5" t="n">
        <v>209312.16</v>
      </c>
    </row>
    <row r="16">
      <c r="A16" s="3" t="inlineStr">
        <is>
          <t>Feb '26</t>
        </is>
      </c>
      <c r="B16" s="3" t="inlineStr">
        <is>
          <t>Turbo Mango</t>
        </is>
      </c>
      <c r="C16" s="3" t="inlineStr">
        <is>
          <t>Active</t>
        </is>
      </c>
      <c r="D16" s="4" t="n">
        <v>7652</v>
      </c>
      <c r="E16" s="4" t="n">
        <v>1016</v>
      </c>
      <c r="F16" s="4" t="n">
        <v>8668</v>
      </c>
      <c r="G16" s="5" t="n">
        <v>105597.6</v>
      </c>
      <c r="H16" s="5" t="n">
        <v>14331.12</v>
      </c>
      <c r="I16" s="5" t="n">
        <v>119928.72</v>
      </c>
    </row>
    <row r="17">
      <c r="A17" s="19" t="inlineStr">
        <is>
          <t>Feb '26</t>
        </is>
      </c>
      <c r="B17" s="19" t="inlineStr">
        <is>
          <t>Turbo Magadat</t>
        </is>
      </c>
      <c r="C17" s="19" t="inlineStr">
        <is>
          <t>Discontinued</t>
        </is>
      </c>
      <c r="D17" s="12" t="n">
        <v>0</v>
      </c>
      <c r="E17" s="12" t="n">
        <v>1665</v>
      </c>
      <c r="F17" s="12" t="n">
        <v>1665</v>
      </c>
      <c r="G17" s="20" t="n">
        <v>0</v>
      </c>
      <c r="H17" s="20" t="n">
        <v>19425.17</v>
      </c>
      <c r="I17" s="20" t="n">
        <v>19425.17</v>
      </c>
    </row>
    <row r="18">
      <c r="A18" s="3" t="inlineStr">
        <is>
          <t>Feb '26</t>
        </is>
      </c>
      <c r="B18" s="3" t="inlineStr">
        <is>
          <t>Dani's Dream Cake</t>
        </is>
      </c>
      <c r="C18" s="3" t="inlineStr">
        <is>
          <t>Active</t>
        </is>
      </c>
      <c r="D18" s="4" t="n">
        <v>0</v>
      </c>
      <c r="E18" s="4" t="n">
        <v>4073</v>
      </c>
      <c r="F18" s="4" t="n">
        <v>4073</v>
      </c>
      <c r="G18" s="5" t="n">
        <v>0</v>
      </c>
      <c r="H18" s="5" t="n">
        <v>336574.44</v>
      </c>
      <c r="I18" s="5" t="n">
        <v>336574.44</v>
      </c>
    </row>
    <row r="19">
      <c r="A19" s="3" t="inlineStr">
        <is>
          <t>Feb '26</t>
        </is>
      </c>
      <c r="B19" s="3" t="inlineStr">
        <is>
          <t>Turbo Pistachio</t>
        </is>
      </c>
      <c r="C19" s="3" t="inlineStr">
        <is>
          <t>New</t>
        </is>
      </c>
      <c r="D19" s="4" t="n">
        <v>10440</v>
      </c>
      <c r="E19" s="4" t="n">
        <v>3640</v>
      </c>
      <c r="F19" s="4" t="n">
        <v>14080</v>
      </c>
      <c r="G19" s="5" t="n">
        <v>144072</v>
      </c>
      <c r="H19" s="5" t="n">
        <v>51912.33</v>
      </c>
      <c r="I19" s="5" t="n">
        <v>195984.33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Icedream — Customer &amp; Product Detail</t>
        </is>
      </c>
    </row>
    <row r="3">
      <c r="A3" s="13" t="inlineStr">
        <is>
          <t>Dec '25</t>
        </is>
      </c>
    </row>
    <row r="4">
      <c r="A4" s="2" t="inlineStr">
        <is>
          <t>Customer</t>
        </is>
      </c>
      <c r="B4" s="2" t="inlineStr">
        <is>
          <t>Chocolate (units)</t>
        </is>
      </c>
      <c r="C4" s="2" t="inlineStr">
        <is>
          <t>Vanilla (units)</t>
        </is>
      </c>
      <c r="D4" s="2" t="inlineStr">
        <is>
          <t>Mango (units)</t>
        </is>
      </c>
      <c r="E4" s="2" t="inlineStr">
        <is>
          <t>Pistachio (units)</t>
        </is>
      </c>
      <c r="F4" s="2" t="inlineStr">
        <is>
          <t>Magadat (units)</t>
        </is>
      </c>
      <c r="G4" s="2" t="inlineStr">
        <is>
          <t>Dream Cake (units)</t>
        </is>
      </c>
      <c r="H4" s="2" t="inlineStr">
        <is>
          <t>Total Units</t>
        </is>
      </c>
      <c r="I4" s="2" t="inlineStr">
        <is>
          <t>Total ₪</t>
        </is>
      </c>
    </row>
    <row r="5">
      <c r="A5" s="14" t="inlineStr">
        <is>
          <t>וולט</t>
        </is>
      </c>
      <c r="B5" s="4" t="n">
        <v>4380</v>
      </c>
      <c r="C5" s="4" t="n">
        <v>4560</v>
      </c>
      <c r="D5" s="4" t="n">
        <v>2841</v>
      </c>
      <c r="E5" s="4" t="inlineStr"/>
      <c r="F5" s="12" t="n">
        <v>1365</v>
      </c>
      <c r="G5" s="4" t="n">
        <v>5805</v>
      </c>
      <c r="H5" s="8">
        <f>SUM(B5:G5)</f>
        <v/>
      </c>
      <c r="I5" s="9" t="n">
        <v>644422.66</v>
      </c>
    </row>
    <row r="6">
      <c r="A6" s="14" t="inlineStr">
        <is>
          <t>חוות נעמי</t>
        </is>
      </c>
      <c r="B6" s="4" t="n">
        <v>150</v>
      </c>
      <c r="C6" s="4" t="n">
        <v>150</v>
      </c>
      <c r="D6" s="4" t="n">
        <v>150</v>
      </c>
      <c r="E6" s="4" t="inlineStr"/>
      <c r="F6" s="12" t="inlineStr"/>
      <c r="G6" s="4" t="n">
        <v>15</v>
      </c>
      <c r="H6" s="8">
        <f>SUM(B6:G6)</f>
        <v/>
      </c>
      <c r="I6" s="9" t="n">
        <v>7186.45</v>
      </c>
    </row>
    <row r="7">
      <c r="A7" s="14" t="inlineStr">
        <is>
          <t>ינגו</t>
        </is>
      </c>
      <c r="B7" s="4" t="n">
        <v>66</v>
      </c>
      <c r="C7" s="4" t="n">
        <v>60</v>
      </c>
      <c r="D7" s="4" t="n">
        <v>72</v>
      </c>
      <c r="E7" s="4" t="inlineStr"/>
      <c r="F7" s="12" t="inlineStr"/>
      <c r="G7" s="4" t="n">
        <v>150</v>
      </c>
      <c r="H7" s="8">
        <f>SUM(B7:G7)</f>
        <v/>
      </c>
      <c r="I7" s="9" t="n">
        <v>25172.76</v>
      </c>
    </row>
    <row r="8">
      <c r="A8" s="14" t="inlineStr">
        <is>
          <t>כרמלה</t>
        </is>
      </c>
      <c r="B8" s="4" t="n">
        <v>360</v>
      </c>
      <c r="C8" s="4" t="n">
        <v>360</v>
      </c>
      <c r="D8" s="4" t="n">
        <v>240</v>
      </c>
      <c r="E8" s="4" t="inlineStr"/>
      <c r="F8" s="12" t="n">
        <v>312</v>
      </c>
      <c r="G8" s="4" t="inlineStr"/>
      <c r="H8" s="8">
        <f>SUM(B8:G8)</f>
        <v/>
      </c>
      <c r="I8" s="9" t="n">
        <v>17184.74</v>
      </c>
    </row>
    <row r="9">
      <c r="A9" s="14" t="inlineStr">
        <is>
          <t>נוי השדה</t>
        </is>
      </c>
      <c r="B9" s="4" t="n">
        <v>282</v>
      </c>
      <c r="C9" s="4" t="n">
        <v>330</v>
      </c>
      <c r="D9" s="4" t="n">
        <v>318</v>
      </c>
      <c r="E9" s="4" t="inlineStr"/>
      <c r="F9" s="12" t="n">
        <v>48</v>
      </c>
      <c r="G9" s="4" t="inlineStr"/>
      <c r="H9" s="8">
        <f>SUM(B9:G9)</f>
        <v/>
      </c>
      <c r="I9" s="9" t="n">
        <v>13409.31</v>
      </c>
    </row>
    <row r="11">
      <c r="A11" s="13" t="inlineStr">
        <is>
          <t>Jan '26</t>
        </is>
      </c>
    </row>
    <row r="12">
      <c r="A12" s="2" t="inlineStr">
        <is>
          <t>Customer</t>
        </is>
      </c>
      <c r="B12" s="2" t="inlineStr">
        <is>
          <t>Chocolate (units)</t>
        </is>
      </c>
      <c r="C12" s="2" t="inlineStr">
        <is>
          <t>Vanilla (units)</t>
        </is>
      </c>
      <c r="D12" s="2" t="inlineStr">
        <is>
          <t>Mango (units)</t>
        </is>
      </c>
      <c r="E12" s="2" t="inlineStr">
        <is>
          <t>Pistachio (units)</t>
        </is>
      </c>
      <c r="F12" s="2" t="inlineStr">
        <is>
          <t>Magadat (units)</t>
        </is>
      </c>
      <c r="G12" s="2" t="inlineStr">
        <is>
          <t>Dream Cake (units)</t>
        </is>
      </c>
      <c r="H12" s="2" t="inlineStr">
        <is>
          <t>Total Units</t>
        </is>
      </c>
      <c r="I12" s="2" t="inlineStr">
        <is>
          <t>Total ₪</t>
        </is>
      </c>
    </row>
    <row r="13">
      <c r="A13" s="14" t="inlineStr">
        <is>
          <t>גוד פארם אבן גבירול *ת.משלוח*</t>
        </is>
      </c>
      <c r="B13" s="4" t="n">
        <v>30</v>
      </c>
      <c r="C13" s="4" t="n">
        <v>30</v>
      </c>
      <c r="D13" s="4" t="n">
        <v>18</v>
      </c>
      <c r="E13" s="4" t="inlineStr"/>
      <c r="F13" s="12" t="inlineStr"/>
      <c r="G13" s="4" t="inlineStr"/>
      <c r="H13" s="8">
        <f>SUM(B13:G13)</f>
        <v/>
      </c>
      <c r="I13" s="9" t="n">
        <v>1100</v>
      </c>
    </row>
    <row r="14">
      <c r="A14" s="14" t="inlineStr">
        <is>
          <t>גוד פארם דיזינגוף סנטר*ת.משלוח*</t>
        </is>
      </c>
      <c r="B14" s="4" t="n">
        <v>50</v>
      </c>
      <c r="C14" s="4" t="n">
        <v>42</v>
      </c>
      <c r="D14" s="4" t="n">
        <v>30</v>
      </c>
      <c r="E14" s="4" t="inlineStr"/>
      <c r="F14" s="12" t="inlineStr"/>
      <c r="G14" s="4" t="inlineStr"/>
      <c r="H14" s="8">
        <f>SUM(B14:G14)</f>
        <v/>
      </c>
      <c r="I14" s="9" t="n">
        <v>1544.92</v>
      </c>
    </row>
    <row r="15">
      <c r="A15" s="14" t="inlineStr">
        <is>
          <t>גוד פארם הוד השרון*ת.משלוח*</t>
        </is>
      </c>
      <c r="B15" s="4" t="n">
        <v>50</v>
      </c>
      <c r="C15" s="4" t="n">
        <v>42</v>
      </c>
      <c r="D15" s="4" t="n">
        <v>30</v>
      </c>
      <c r="E15" s="4" t="inlineStr"/>
      <c r="F15" s="12" t="inlineStr"/>
      <c r="G15" s="4" t="inlineStr"/>
      <c r="H15" s="8">
        <f>SUM(B15:G15)</f>
        <v/>
      </c>
      <c r="I15" s="9" t="n">
        <v>1544.92</v>
      </c>
    </row>
    <row r="16">
      <c r="A16" s="14" t="inlineStr">
        <is>
          <t>גוד פארם הקניון הגדול פ"ת*ת.משלוח*</t>
        </is>
      </c>
      <c r="B16" s="4" t="n">
        <v>50</v>
      </c>
      <c r="C16" s="4" t="n">
        <v>42</v>
      </c>
      <c r="D16" s="4" t="n">
        <v>30</v>
      </c>
      <c r="E16" s="4" t="inlineStr"/>
      <c r="F16" s="12" t="inlineStr"/>
      <c r="G16" s="4" t="inlineStr"/>
      <c r="H16" s="8">
        <f>SUM(B16:G16)</f>
        <v/>
      </c>
      <c r="I16" s="9" t="n">
        <v>1544.92</v>
      </c>
    </row>
    <row r="17">
      <c r="A17" s="14" t="inlineStr">
        <is>
          <t>גוד פארם קרית אונו*ת.משלוח*</t>
        </is>
      </c>
      <c r="B17" s="4" t="n">
        <v>40</v>
      </c>
      <c r="C17" s="4" t="n">
        <v>54</v>
      </c>
      <c r="D17" s="4" t="n">
        <v>30</v>
      </c>
      <c r="E17" s="4" t="inlineStr"/>
      <c r="F17" s="12" t="inlineStr"/>
      <c r="G17" s="4" t="inlineStr"/>
      <c r="H17" s="8">
        <f>SUM(B17:G17)</f>
        <v/>
      </c>
      <c r="I17" s="9" t="n">
        <v>1682.21</v>
      </c>
    </row>
    <row r="18">
      <c r="A18" s="14" t="inlineStr">
        <is>
          <t>גוד פארם קרית גת*ת.משלוח*</t>
        </is>
      </c>
      <c r="B18" s="4" t="n">
        <v>50</v>
      </c>
      <c r="C18" s="4" t="n">
        <v>42</v>
      </c>
      <c r="D18" s="4" t="n">
        <v>30</v>
      </c>
      <c r="E18" s="4" t="inlineStr"/>
      <c r="F18" s="12" t="inlineStr"/>
      <c r="G18" s="4" t="inlineStr"/>
      <c r="H18" s="8">
        <f>SUM(B18:G18)</f>
        <v/>
      </c>
      <c r="I18" s="9" t="n">
        <v>1544.92</v>
      </c>
    </row>
    <row r="19">
      <c r="A19" s="14" t="inlineStr">
        <is>
          <t>גוד פארם קרית מוצקין*ת.משלוח*</t>
        </is>
      </c>
      <c r="B19" s="4" t="n">
        <v>50</v>
      </c>
      <c r="C19" s="4" t="n">
        <v>42</v>
      </c>
      <c r="D19" s="4" t="n">
        <v>30</v>
      </c>
      <c r="E19" s="4" t="inlineStr"/>
      <c r="F19" s="12" t="inlineStr"/>
      <c r="G19" s="4" t="inlineStr"/>
      <c r="H19" s="8">
        <f>SUM(B19:G19)</f>
        <v/>
      </c>
      <c r="I19" s="9" t="n">
        <v>1544.92</v>
      </c>
    </row>
    <row r="20">
      <c r="A20" s="14" t="inlineStr">
        <is>
          <t>גוד פארם רוטשילד ת"א*ת.משלוח*</t>
        </is>
      </c>
      <c r="B20" s="4" t="n">
        <v>50</v>
      </c>
      <c r="C20" s="4" t="n">
        <v>48</v>
      </c>
      <c r="D20" s="4" t="n">
        <v>36</v>
      </c>
      <c r="E20" s="4" t="inlineStr"/>
      <c r="F20" s="12" t="inlineStr"/>
      <c r="G20" s="4" t="inlineStr"/>
      <c r="H20" s="8">
        <f>SUM(B20:G20)</f>
        <v/>
      </c>
      <c r="I20" s="9" t="n">
        <v>1809.33</v>
      </c>
    </row>
    <row r="21">
      <c r="A21" s="14" t="inlineStr">
        <is>
          <t>גוד פארם רעננה*ת.משלוח*</t>
        </is>
      </c>
      <c r="B21" s="4" t="n">
        <v>50</v>
      </c>
      <c r="C21" s="4" t="n">
        <v>72</v>
      </c>
      <c r="D21" s="4" t="n">
        <v>60</v>
      </c>
      <c r="E21" s="4" t="inlineStr"/>
      <c r="F21" s="12" t="inlineStr"/>
      <c r="G21" s="4" t="inlineStr"/>
      <c r="H21" s="8">
        <f>SUM(B21:G21)</f>
        <v/>
      </c>
      <c r="I21" s="9" t="n">
        <v>2304.24</v>
      </c>
    </row>
    <row r="22">
      <c r="A22" s="14" t="inlineStr">
        <is>
          <t>דומינוס פיצה אבן גבירול  *ת.משלוח*החל משעה 11:00 *</t>
        </is>
      </c>
      <c r="B22" s="4" t="n">
        <v>30</v>
      </c>
      <c r="C22" s="4" t="n">
        <v>30</v>
      </c>
      <c r="D22" s="4" t="n">
        <v>30</v>
      </c>
      <c r="E22" s="4" t="inlineStr"/>
      <c r="F22" s="12" t="inlineStr"/>
      <c r="G22" s="4" t="inlineStr"/>
      <c r="H22" s="8">
        <f>SUM(B22:G22)</f>
        <v/>
      </c>
      <c r="I22" s="9" t="n">
        <v>888.99</v>
      </c>
    </row>
    <row r="23">
      <c r="A23" s="14" t="inlineStr">
        <is>
          <t>דומינוס פיצה אילת *ת.משלוח* *החל מ:11:00 *</t>
        </is>
      </c>
      <c r="B23" s="4" t="n">
        <v>30</v>
      </c>
      <c r="C23" s="4" t="n">
        <v>30</v>
      </c>
      <c r="D23" s="4" t="n">
        <v>30</v>
      </c>
      <c r="E23" s="4" t="inlineStr"/>
      <c r="F23" s="12" t="inlineStr"/>
      <c r="G23" s="4" t="inlineStr"/>
      <c r="H23" s="8">
        <f>SUM(B23:G23)</f>
        <v/>
      </c>
      <c r="I23" s="9" t="n">
        <v>1026</v>
      </c>
    </row>
    <row r="24">
      <c r="A24" s="14" t="inlineStr">
        <is>
          <t>דומינוס פיצה אשדוד סיטי *ת.משלוח* *החל משעה 11:00*</t>
        </is>
      </c>
      <c r="B24" s="4" t="n">
        <v>30</v>
      </c>
      <c r="C24" s="4" t="n">
        <v>30</v>
      </c>
      <c r="D24" s="4" t="n">
        <v>30</v>
      </c>
      <c r="E24" s="4" t="inlineStr"/>
      <c r="F24" s="12" t="inlineStr"/>
      <c r="G24" s="4" t="inlineStr"/>
      <c r="H24" s="8">
        <f>SUM(B24:G24)</f>
        <v/>
      </c>
      <c r="I24" s="9" t="n">
        <v>1026.27</v>
      </c>
    </row>
    <row r="25">
      <c r="A25" s="14" t="inlineStr">
        <is>
          <t>דומינוס פיצה אשקלון *ת.משלוח* *החל מ:11:00 *</t>
        </is>
      </c>
      <c r="B25" s="4" t="n">
        <v>60</v>
      </c>
      <c r="C25" s="4" t="n">
        <v>60</v>
      </c>
      <c r="D25" s="4" t="n">
        <v>60</v>
      </c>
      <c r="E25" s="4" t="inlineStr"/>
      <c r="F25" s="12" t="inlineStr"/>
      <c r="G25" s="4" t="inlineStr"/>
      <c r="H25" s="8">
        <f>SUM(B25:G25)</f>
        <v/>
      </c>
      <c r="I25" s="9" t="n">
        <v>2052.54</v>
      </c>
    </row>
    <row r="26">
      <c r="A26" s="14" t="inlineStr">
        <is>
          <t>דומינוס פיצה ב''ש מרכז  *ת.משלוח* *החל מ:11:00 *</t>
        </is>
      </c>
      <c r="B26" s="4" t="n">
        <v>30</v>
      </c>
      <c r="C26" s="4" t="n">
        <v>30</v>
      </c>
      <c r="D26" s="4" t="n">
        <v>30</v>
      </c>
      <c r="E26" s="4" t="inlineStr"/>
      <c r="F26" s="12" t="inlineStr"/>
      <c r="G26" s="4" t="inlineStr"/>
      <c r="H26" s="8">
        <f>SUM(B26:G26)</f>
        <v/>
      </c>
      <c r="I26" s="9" t="n">
        <v>1026.27</v>
      </c>
    </row>
    <row r="27">
      <c r="A27" s="14" t="inlineStr">
        <is>
          <t>דומינוס פיצה ב''ש רמות *ת.משלוח* *החל מ:11:00 *</t>
        </is>
      </c>
      <c r="B27" s="4" t="n">
        <v>30</v>
      </c>
      <c r="C27" s="4" t="n">
        <v>30</v>
      </c>
      <c r="D27" s="4" t="n">
        <v>30</v>
      </c>
      <c r="E27" s="4" t="inlineStr"/>
      <c r="F27" s="12" t="inlineStr"/>
      <c r="G27" s="4" t="inlineStr"/>
      <c r="H27" s="8">
        <f>SUM(B27:G27)</f>
        <v/>
      </c>
      <c r="I27" s="9" t="n">
        <v>1026.27</v>
      </c>
    </row>
    <row r="28">
      <c r="A28" s="14" t="inlineStr">
        <is>
          <t>דומינוס פיצה בת ים   *ת.משלוח* *החל משעה 11:00 *</t>
        </is>
      </c>
      <c r="B28" s="4" t="n">
        <v>30</v>
      </c>
      <c r="C28" s="4" t="n">
        <v>30</v>
      </c>
      <c r="D28" s="4" t="n">
        <v>30</v>
      </c>
      <c r="E28" s="4" t="inlineStr"/>
      <c r="F28" s="12" t="inlineStr"/>
      <c r="G28" s="4" t="inlineStr"/>
      <c r="H28" s="8">
        <f>SUM(B28:G28)</f>
        <v/>
      </c>
      <c r="I28" s="9" t="n">
        <v>1026.27</v>
      </c>
    </row>
    <row r="29">
      <c r="A29" s="14" t="inlineStr">
        <is>
          <t>דומינוס פיצה גבעתיים  *ת.משלוח* *החל משעה 11:00 *</t>
        </is>
      </c>
      <c r="B29" s="4" t="n">
        <v>70</v>
      </c>
      <c r="C29" s="4" t="n">
        <v>60</v>
      </c>
      <c r="D29" s="4" t="n">
        <v>48</v>
      </c>
      <c r="E29" s="4" t="inlineStr"/>
      <c r="F29" s="12" t="inlineStr"/>
      <c r="G29" s="4" t="inlineStr"/>
      <c r="H29" s="8">
        <f>SUM(B29:G29)</f>
        <v/>
      </c>
      <c r="I29" s="9" t="n">
        <v>2029.67</v>
      </c>
    </row>
    <row r="30">
      <c r="A30" s="14" t="inlineStr">
        <is>
          <t>דומינוס פיצה הגבעה הצרפתית*ת.משלוח*החל משעה11:00 *</t>
        </is>
      </c>
      <c r="B30" s="4" t="n">
        <v>30</v>
      </c>
      <c r="C30" s="4" t="n">
        <v>30</v>
      </c>
      <c r="D30" s="4" t="n">
        <v>30</v>
      </c>
      <c r="E30" s="4" t="inlineStr"/>
      <c r="F30" s="12" t="inlineStr"/>
      <c r="G30" s="4" t="inlineStr"/>
      <c r="H30" s="8">
        <f>SUM(B30:G30)</f>
        <v/>
      </c>
      <c r="I30" s="9" t="n">
        <v>888.99</v>
      </c>
    </row>
    <row r="31">
      <c r="A31" s="14" t="inlineStr">
        <is>
          <t>דומינוס פיצה הוד השרון *ת.משלוח* *החל מ:11:00 *</t>
        </is>
      </c>
      <c r="B31" s="4" t="n">
        <v>30</v>
      </c>
      <c r="C31" s="4" t="n">
        <v>30</v>
      </c>
      <c r="D31" s="4" t="n">
        <v>30</v>
      </c>
      <c r="E31" s="4" t="inlineStr"/>
      <c r="F31" s="12" t="inlineStr"/>
      <c r="G31" s="4" t="inlineStr"/>
      <c r="H31" s="8">
        <f>SUM(B31:G31)</f>
        <v/>
      </c>
      <c r="I31" s="9" t="n">
        <v>1026.27</v>
      </c>
    </row>
    <row r="32">
      <c r="A32" s="14" t="inlineStr">
        <is>
          <t>דומינוס פיצה הרצליה מרכז *ת.משלוח* *החל מ: 11:00 *</t>
        </is>
      </c>
      <c r="B32" s="4" t="n">
        <v>30</v>
      </c>
      <c r="C32" s="4" t="n">
        <v>30</v>
      </c>
      <c r="D32" s="4" t="n">
        <v>30</v>
      </c>
      <c r="E32" s="4" t="inlineStr"/>
      <c r="F32" s="12" t="inlineStr"/>
      <c r="G32" s="4" t="inlineStr"/>
      <c r="H32" s="8">
        <f>SUM(B32:G32)</f>
        <v/>
      </c>
      <c r="I32" s="9" t="n">
        <v>1026.27</v>
      </c>
    </row>
    <row r="33">
      <c r="A33" s="14" t="inlineStr">
        <is>
          <t>דומינוס פיצה הרצליה פיתוח *ת.משלוח* *החל מ:11:00 *</t>
        </is>
      </c>
      <c r="B33" s="4" t="n">
        <v>30</v>
      </c>
      <c r="C33" s="4" t="n">
        <v>30</v>
      </c>
      <c r="D33" s="4" t="n">
        <v>30</v>
      </c>
      <c r="E33" s="4" t="inlineStr"/>
      <c r="F33" s="12" t="inlineStr"/>
      <c r="G33" s="4" t="inlineStr"/>
      <c r="H33" s="8">
        <f>SUM(B33:G33)</f>
        <v/>
      </c>
      <c r="I33" s="9" t="n">
        <v>1026.27</v>
      </c>
    </row>
    <row r="34">
      <c r="A34" s="14" t="inlineStr">
        <is>
          <t>דומינוס פיצה זכרון יעקב *ת.משלוח* *החל מ :11:00 *</t>
        </is>
      </c>
      <c r="B34" s="4" t="n">
        <v>30</v>
      </c>
      <c r="C34" s="4" t="n">
        <v>30</v>
      </c>
      <c r="D34" s="4" t="n">
        <v>30</v>
      </c>
      <c r="E34" s="4" t="inlineStr"/>
      <c r="F34" s="12" t="inlineStr"/>
      <c r="G34" s="4" t="inlineStr"/>
      <c r="H34" s="8">
        <f>SUM(B34:G34)</f>
        <v/>
      </c>
      <c r="I34" s="9" t="n">
        <v>1026.27</v>
      </c>
    </row>
    <row r="35">
      <c r="A35" s="14" t="inlineStr">
        <is>
          <t>דומינוס פיצה חדרה *ת.משלוח* *החל משעה 11:00 *</t>
        </is>
      </c>
      <c r="B35" s="4" t="n">
        <v>30</v>
      </c>
      <c r="C35" s="4" t="n">
        <v>30</v>
      </c>
      <c r="D35" s="4" t="n">
        <v>30</v>
      </c>
      <c r="E35" s="4" t="inlineStr"/>
      <c r="F35" s="12" t="inlineStr"/>
      <c r="G35" s="4" t="inlineStr"/>
      <c r="H35" s="8">
        <f>SUM(B35:G35)</f>
        <v/>
      </c>
      <c r="I35" s="9" t="n">
        <v>1026.27</v>
      </c>
    </row>
    <row r="36">
      <c r="A36" s="14" t="inlineStr">
        <is>
          <t>דומינוס פיצה חולון סטרומה*ת.משלוח**החל משעה 11:00*</t>
        </is>
      </c>
      <c r="B36" s="4" t="n">
        <v>30</v>
      </c>
      <c r="C36" s="4" t="n">
        <v>30</v>
      </c>
      <c r="D36" s="4" t="n">
        <v>18</v>
      </c>
      <c r="E36" s="4" t="inlineStr"/>
      <c r="F36" s="12" t="inlineStr"/>
      <c r="G36" s="4" t="inlineStr"/>
      <c r="H36" s="8">
        <f>SUM(B36:G36)</f>
        <v/>
      </c>
      <c r="I36" s="9" t="n">
        <v>752.55</v>
      </c>
    </row>
    <row r="37">
      <c r="A37" s="14" t="inlineStr">
        <is>
          <t>דומינוס פיצה חיפה אינשטיין *ת.משלוח* החל מ:11:00 *</t>
        </is>
      </c>
      <c r="B37" s="4" t="n">
        <v>30</v>
      </c>
      <c r="C37" s="4" t="n">
        <v>30</v>
      </c>
      <c r="D37" s="4" t="n">
        <v>30</v>
      </c>
      <c r="E37" s="4" t="inlineStr"/>
      <c r="F37" s="12" t="inlineStr"/>
      <c r="G37" s="4" t="inlineStr"/>
      <c r="H37" s="8">
        <f>SUM(B37:G37)</f>
        <v/>
      </c>
      <c r="I37" s="9" t="n">
        <v>1026.27</v>
      </c>
    </row>
    <row r="38">
      <c r="A38" s="14" t="inlineStr">
        <is>
          <t>דומינוס פיצה חיפה נווה שאנן *ת.משלוח*החל מ 11:00 *</t>
        </is>
      </c>
      <c r="B38" s="4" t="n">
        <v>60</v>
      </c>
      <c r="C38" s="4" t="n">
        <v>60</v>
      </c>
      <c r="D38" s="4" t="n">
        <v>60</v>
      </c>
      <c r="E38" s="4" t="inlineStr"/>
      <c r="F38" s="12" t="inlineStr"/>
      <c r="G38" s="4" t="inlineStr"/>
      <c r="H38" s="8">
        <f>SUM(B38:G38)</f>
        <v/>
      </c>
      <c r="I38" s="9" t="n">
        <v>2052.54</v>
      </c>
    </row>
    <row r="39">
      <c r="A39" s="14" t="inlineStr">
        <is>
          <t>דומינוס פיצה יבנה  *ת.משלוח* *החל משעה 11:00 *</t>
        </is>
      </c>
      <c r="B39" s="4" t="n">
        <v>30</v>
      </c>
      <c r="C39" s="4" t="n">
        <v>30</v>
      </c>
      <c r="D39" s="4" t="n">
        <v>30</v>
      </c>
      <c r="E39" s="4" t="inlineStr"/>
      <c r="F39" s="12" t="inlineStr"/>
      <c r="G39" s="4" t="inlineStr"/>
      <c r="H39" s="8">
        <f>SUM(B39:G39)</f>
        <v/>
      </c>
      <c r="I39" s="9" t="n">
        <v>1026.27</v>
      </c>
    </row>
    <row r="40">
      <c r="A40" s="14" t="inlineStr">
        <is>
          <t>דומינוס פיצה יגאל אלון *ת.משלוח* *החל משעה 11:00 *</t>
        </is>
      </c>
      <c r="B40" s="4" t="n">
        <v>30</v>
      </c>
      <c r="C40" s="4" t="n">
        <v>30</v>
      </c>
      <c r="D40" s="4" t="n">
        <v>30</v>
      </c>
      <c r="E40" s="4" t="inlineStr"/>
      <c r="F40" s="12" t="inlineStr"/>
      <c r="G40" s="4" t="inlineStr"/>
      <c r="H40" s="8">
        <f>SUM(B40:G40)</f>
        <v/>
      </c>
      <c r="I40" s="9" t="n">
        <v>1026.27</v>
      </c>
    </row>
    <row r="41">
      <c r="A41" s="14" t="inlineStr">
        <is>
          <t>דומינוס פיצה יהוד  *ת.משלוח* *החל משעה 11:00 *</t>
        </is>
      </c>
      <c r="B41" s="4" t="n">
        <v>30</v>
      </c>
      <c r="C41" s="4" t="n">
        <v>30</v>
      </c>
      <c r="D41" s="4" t="n">
        <v>30</v>
      </c>
      <c r="E41" s="4" t="inlineStr"/>
      <c r="F41" s="12" t="inlineStr"/>
      <c r="G41" s="4" t="inlineStr"/>
      <c r="H41" s="8">
        <f>SUM(B41:G41)</f>
        <v/>
      </c>
      <c r="I41" s="9" t="n">
        <v>1026.27</v>
      </c>
    </row>
    <row r="42">
      <c r="A42" s="14" t="inlineStr">
        <is>
          <t>דומינוס פיצה יקנעם  *ת.משלוח* *החל מ:11:00 *</t>
        </is>
      </c>
      <c r="B42" s="4" t="n">
        <v>30</v>
      </c>
      <c r="C42" s="4" t="n">
        <v>30</v>
      </c>
      <c r="D42" s="4" t="n">
        <v>30</v>
      </c>
      <c r="E42" s="4" t="inlineStr"/>
      <c r="F42" s="12" t="inlineStr"/>
      <c r="G42" s="4" t="inlineStr"/>
      <c r="H42" s="8">
        <f>SUM(B42:G42)</f>
        <v/>
      </c>
      <c r="I42" s="9" t="n">
        <v>1026.27</v>
      </c>
    </row>
    <row r="43">
      <c r="A43" s="14" t="inlineStr">
        <is>
          <t>דומינוס פיצה כפר סבא *ת.משלוח* *החל משעה 11:00 *</t>
        </is>
      </c>
      <c r="B43" s="4" t="n">
        <v>30</v>
      </c>
      <c r="C43" s="4" t="n">
        <v>30</v>
      </c>
      <c r="D43" s="4" t="n">
        <v>30</v>
      </c>
      <c r="E43" s="4" t="inlineStr"/>
      <c r="F43" s="12" t="inlineStr"/>
      <c r="G43" s="4" t="inlineStr"/>
      <c r="H43" s="8">
        <f>SUM(B43:G43)</f>
        <v/>
      </c>
      <c r="I43" s="9" t="n">
        <v>1026.27</v>
      </c>
    </row>
    <row r="44">
      <c r="A44" s="14" t="inlineStr">
        <is>
          <t>דומינוס פיצה כפר סבא הירוקה *ת.משלוח*החל מ: 11:00*</t>
        </is>
      </c>
      <c r="B44" s="4" t="n">
        <v>30</v>
      </c>
      <c r="C44" s="4" t="n">
        <v>30</v>
      </c>
      <c r="D44" s="4" t="n">
        <v>30</v>
      </c>
      <c r="E44" s="4" t="inlineStr"/>
      <c r="F44" s="12" t="inlineStr"/>
      <c r="G44" s="4" t="inlineStr"/>
      <c r="H44" s="8">
        <f>SUM(B44:G44)</f>
        <v/>
      </c>
      <c r="I44" s="9" t="n">
        <v>1026.27</v>
      </c>
    </row>
    <row r="45">
      <c r="A45" s="14" t="inlineStr">
        <is>
          <t>דומינוס פיצה כרמיאל  *ת.משלוח* *החל מ:11:00 *</t>
        </is>
      </c>
      <c r="B45" s="4" t="n">
        <v>30</v>
      </c>
      <c r="C45" s="4" t="n">
        <v>30</v>
      </c>
      <c r="D45" s="4" t="n">
        <v>30</v>
      </c>
      <c r="E45" s="4" t="inlineStr"/>
      <c r="F45" s="12" t="inlineStr"/>
      <c r="G45" s="4" t="inlineStr"/>
      <c r="H45" s="8">
        <f>SUM(B45:G45)</f>
        <v/>
      </c>
      <c r="I45" s="9" t="n">
        <v>1026.27</v>
      </c>
    </row>
    <row r="46">
      <c r="A46" s="14" t="inlineStr">
        <is>
          <t>דומינוס פיצה מודיעין *ת.משלוח*החל משעה 11:00*</t>
        </is>
      </c>
      <c r="B46" s="4" t="n">
        <v>30</v>
      </c>
      <c r="C46" s="4" t="n">
        <v>30</v>
      </c>
      <c r="D46" s="4" t="n">
        <v>30</v>
      </c>
      <c r="E46" s="4" t="inlineStr"/>
      <c r="F46" s="12" t="inlineStr"/>
      <c r="G46" s="4" t="inlineStr"/>
      <c r="H46" s="8">
        <f>SUM(B46:G46)</f>
        <v/>
      </c>
      <c r="I46" s="9" t="n">
        <v>1026.27</v>
      </c>
    </row>
    <row r="47">
      <c r="A47" s="14" t="inlineStr">
        <is>
          <t>דומינוס פיצה מודיעין קייזר*ת.משלוח*החל משעה 11:00*</t>
        </is>
      </c>
      <c r="B47" s="4" t="n">
        <v>30</v>
      </c>
      <c r="C47" s="4" t="n">
        <v>30</v>
      </c>
      <c r="D47" s="4" t="n">
        <v>30</v>
      </c>
      <c r="E47" s="4" t="inlineStr"/>
      <c r="F47" s="12" t="inlineStr"/>
      <c r="G47" s="4" t="inlineStr"/>
      <c r="H47" s="8">
        <f>SUM(B47:G47)</f>
        <v/>
      </c>
      <c r="I47" s="9" t="n">
        <v>1026.27</v>
      </c>
    </row>
    <row r="48">
      <c r="A48" s="14" t="inlineStr">
        <is>
          <t>דומינוס פיצה מוריה *ת.משלוח* *החל משעה 11:00 *</t>
        </is>
      </c>
      <c r="B48" s="4" t="n">
        <v>80</v>
      </c>
      <c r="C48" s="4" t="n">
        <v>60</v>
      </c>
      <c r="D48" s="4" t="n">
        <v>42</v>
      </c>
      <c r="E48" s="4" t="inlineStr"/>
      <c r="F48" s="12" t="inlineStr"/>
      <c r="G48" s="4" t="inlineStr"/>
      <c r="H48" s="8">
        <f>SUM(B48:G48)</f>
        <v/>
      </c>
      <c r="I48" s="9" t="n">
        <v>2075.43</v>
      </c>
    </row>
    <row r="49">
      <c r="A49" s="14" t="inlineStr">
        <is>
          <t>דומינוס פיצה מרכז כרמל *ת.משלוח* *החל משעה 11:00 *</t>
        </is>
      </c>
      <c r="B49" s="4" t="n">
        <v>30</v>
      </c>
      <c r="C49" s="4" t="n">
        <v>30</v>
      </c>
      <c r="D49" s="4" t="n">
        <v>30</v>
      </c>
      <c r="E49" s="4" t="inlineStr"/>
      <c r="F49" s="12" t="inlineStr"/>
      <c r="G49" s="4" t="inlineStr"/>
      <c r="H49" s="8">
        <f>SUM(B49:G49)</f>
        <v/>
      </c>
      <c r="I49" s="9" t="n">
        <v>1026.27</v>
      </c>
    </row>
    <row r="50">
      <c r="A50" s="14" t="inlineStr">
        <is>
          <t>דומינוס פיצה נהריה *ת.משלוח* *החל מ:11:00 *</t>
        </is>
      </c>
      <c r="B50" s="4" t="n">
        <v>70</v>
      </c>
      <c r="C50" s="4" t="n">
        <v>48</v>
      </c>
      <c r="D50" s="4" t="n">
        <v>66</v>
      </c>
      <c r="E50" s="4" t="inlineStr"/>
      <c r="F50" s="12" t="inlineStr"/>
      <c r="G50" s="4" t="inlineStr"/>
      <c r="H50" s="8">
        <f>SUM(B50:G50)</f>
        <v/>
      </c>
      <c r="I50" s="9" t="n">
        <v>2097.45</v>
      </c>
    </row>
    <row r="51">
      <c r="A51" s="14" t="inlineStr">
        <is>
          <t>דומינוס פיצה נס ציונה  *ת.משלוח* *החל מ:11:00 *</t>
        </is>
      </c>
      <c r="B51" s="4" t="n">
        <v>30</v>
      </c>
      <c r="C51" s="4" t="n">
        <v>30</v>
      </c>
      <c r="D51" s="4" t="n">
        <v>30</v>
      </c>
      <c r="E51" s="4" t="inlineStr"/>
      <c r="F51" s="12" t="inlineStr"/>
      <c r="G51" s="4" t="inlineStr"/>
      <c r="H51" s="8">
        <f>SUM(B51:G51)</f>
        <v/>
      </c>
      <c r="I51" s="9" t="n">
        <v>1026.27</v>
      </c>
    </row>
    <row r="52">
      <c r="A52" s="14" t="inlineStr">
        <is>
          <t>דומינוס פיצה נצרת עילית *ת.משלוח* *החל משעה 11:00*</t>
        </is>
      </c>
      <c r="B52" s="4" t="n">
        <v>30</v>
      </c>
      <c r="C52" s="4" t="n">
        <v>30</v>
      </c>
      <c r="D52" s="4" t="n">
        <v>30</v>
      </c>
      <c r="E52" s="4" t="inlineStr"/>
      <c r="F52" s="12" t="inlineStr"/>
      <c r="G52" s="4" t="inlineStr"/>
      <c r="H52" s="8">
        <f>SUM(B52:G52)</f>
        <v/>
      </c>
      <c r="I52" s="9" t="n">
        <v>1026.27</v>
      </c>
    </row>
    <row r="53">
      <c r="A53" s="14" t="inlineStr">
        <is>
          <t>דומינוס פיצה נתניה מרכז *ת.משלוח* *החל מ:11:00 *</t>
        </is>
      </c>
      <c r="B53" s="4" t="n">
        <v>30</v>
      </c>
      <c r="C53" s="4" t="n">
        <v>30</v>
      </c>
      <c r="D53" s="4" t="n">
        <v>30</v>
      </c>
      <c r="E53" s="4" t="inlineStr"/>
      <c r="F53" s="12" t="inlineStr"/>
      <c r="G53" s="4" t="inlineStr"/>
      <c r="H53" s="8">
        <f>SUM(B53:G53)</f>
        <v/>
      </c>
      <c r="I53" s="9" t="n">
        <v>1026.27</v>
      </c>
    </row>
    <row r="54">
      <c r="A54" s="14" t="inlineStr">
        <is>
          <t>דומינוס פיצה נתניה פולג *ת.משלוח* *החל מ:11:00 *</t>
        </is>
      </c>
      <c r="B54" s="4" t="n">
        <v>30</v>
      </c>
      <c r="C54" s="4" t="n">
        <v>30</v>
      </c>
      <c r="D54" s="4" t="n">
        <v>30</v>
      </c>
      <c r="E54" s="4" t="inlineStr"/>
      <c r="F54" s="12" t="inlineStr"/>
      <c r="G54" s="4" t="inlineStr"/>
      <c r="H54" s="8">
        <f>SUM(B54:G54)</f>
        <v/>
      </c>
      <c r="I54" s="9" t="n">
        <v>1026.27</v>
      </c>
    </row>
    <row r="55">
      <c r="A55" s="14" t="inlineStr">
        <is>
          <t>דומינוס פיצה פלורנטין  *ת.משלוח* *החל משעה 11:00 *</t>
        </is>
      </c>
      <c r="B55" s="4" t="n">
        <v>30</v>
      </c>
      <c r="C55" s="4" t="n">
        <v>30</v>
      </c>
      <c r="D55" s="4" t="n">
        <v>30</v>
      </c>
      <c r="E55" s="4" t="inlineStr"/>
      <c r="F55" s="12" t="inlineStr"/>
      <c r="G55" s="4" t="inlineStr"/>
      <c r="H55" s="8">
        <f>SUM(B55:G55)</f>
        <v/>
      </c>
      <c r="I55" s="9" t="n">
        <v>1026.27</v>
      </c>
    </row>
    <row r="56">
      <c r="A56" s="14" t="inlineStr">
        <is>
          <t>דומינוס פיצה פרדס חנה *ת.משלוח* *החל מ:11:00 *</t>
        </is>
      </c>
      <c r="B56" s="4" t="n">
        <v>30</v>
      </c>
      <c r="C56" s="4" t="n">
        <v>30</v>
      </c>
      <c r="D56" s="4" t="n">
        <v>30</v>
      </c>
      <c r="E56" s="4" t="inlineStr"/>
      <c r="F56" s="12" t="inlineStr"/>
      <c r="G56" s="4" t="inlineStr"/>
      <c r="H56" s="8">
        <f>SUM(B56:G56)</f>
        <v/>
      </c>
      <c r="I56" s="9" t="n">
        <v>1026.27</v>
      </c>
    </row>
    <row r="57">
      <c r="A57" s="14" t="inlineStr">
        <is>
          <t>דומינוס פיצה קדימה  *ת.משלוח* *החל מ:11:00 *</t>
        </is>
      </c>
      <c r="B57" s="4" t="n">
        <v>80</v>
      </c>
      <c r="C57" s="4" t="n">
        <v>72</v>
      </c>
      <c r="D57" s="4" t="n">
        <v>30</v>
      </c>
      <c r="E57" s="4" t="inlineStr"/>
      <c r="F57" s="12" t="inlineStr"/>
      <c r="G57" s="4" t="inlineStr"/>
      <c r="H57" s="8">
        <f>SUM(B57:G57)</f>
        <v/>
      </c>
      <c r="I57" s="9" t="n">
        <v>2075.42</v>
      </c>
    </row>
    <row r="58">
      <c r="A58" s="14" t="inlineStr">
        <is>
          <t>דומינוס פיצה קריון צפון  *ת.משלוח* *החל מ:11:00 *</t>
        </is>
      </c>
      <c r="B58" s="4" t="n">
        <v>70</v>
      </c>
      <c r="C58" s="4" t="n">
        <v>48</v>
      </c>
      <c r="D58" s="4" t="n">
        <v>36</v>
      </c>
      <c r="E58" s="4" t="inlineStr"/>
      <c r="F58" s="12" t="inlineStr"/>
      <c r="G58" s="4" t="inlineStr"/>
      <c r="H58" s="8">
        <f>SUM(B58:G58)</f>
        <v/>
      </c>
      <c r="I58" s="9" t="n">
        <v>1755.08</v>
      </c>
    </row>
    <row r="59">
      <c r="A59" s="14" t="inlineStr">
        <is>
          <t>דומינוס פיצה קריות מרכז  *ת.משלוח* *החל מ:11:00 *</t>
        </is>
      </c>
      <c r="B59" s="4" t="n">
        <v>70</v>
      </c>
      <c r="C59" s="4" t="n">
        <v>72</v>
      </c>
      <c r="D59" s="4" t="n">
        <v>42</v>
      </c>
      <c r="E59" s="4" t="inlineStr"/>
      <c r="F59" s="12" t="inlineStr"/>
      <c r="G59" s="4" t="inlineStr"/>
      <c r="H59" s="8">
        <f>SUM(B59:G59)</f>
        <v/>
      </c>
      <c r="I59" s="9" t="n">
        <v>2097.46</v>
      </c>
    </row>
    <row r="60">
      <c r="A60" s="14" t="inlineStr">
        <is>
          <t>דומינוס פיצה קרית אונו *ת.משלוח* *החל משעה 11:00 *</t>
        </is>
      </c>
      <c r="B60" s="4" t="n">
        <v>30</v>
      </c>
      <c r="C60" s="4" t="n">
        <v>30</v>
      </c>
      <c r="D60" s="4" t="n">
        <v>30</v>
      </c>
      <c r="E60" s="4" t="inlineStr"/>
      <c r="F60" s="12" t="inlineStr"/>
      <c r="G60" s="4" t="inlineStr"/>
      <c r="H60" s="8">
        <f>SUM(B60:G60)</f>
        <v/>
      </c>
      <c r="I60" s="9" t="n">
        <v>1026.27</v>
      </c>
    </row>
    <row r="61">
      <c r="A61" s="14" t="inlineStr">
        <is>
          <t>דומינוס פיצה קרליבך  *ת.משלוח* *החל משעה 11:00 *</t>
        </is>
      </c>
      <c r="B61" s="4" t="n">
        <v>70</v>
      </c>
      <c r="C61" s="4" t="n">
        <v>60</v>
      </c>
      <c r="D61" s="4" t="n">
        <v>54</v>
      </c>
      <c r="E61" s="4" t="inlineStr"/>
      <c r="F61" s="12" t="inlineStr"/>
      <c r="G61" s="4" t="inlineStr"/>
      <c r="H61" s="8">
        <f>SUM(B61:G61)</f>
        <v/>
      </c>
      <c r="I61" s="9" t="n">
        <v>1960.16</v>
      </c>
    </row>
    <row r="62">
      <c r="A62" s="14" t="inlineStr">
        <is>
          <t>דומינוס פיצה ראש העין  *ת.משלוח* *החל משעה 11:00 *</t>
        </is>
      </c>
      <c r="B62" s="4" t="n">
        <v>30</v>
      </c>
      <c r="C62" s="4" t="n">
        <v>30</v>
      </c>
      <c r="D62" s="4" t="n">
        <v>30</v>
      </c>
      <c r="E62" s="4" t="inlineStr"/>
      <c r="F62" s="12" t="inlineStr"/>
      <c r="G62" s="4" t="inlineStr"/>
      <c r="H62" s="8">
        <f>SUM(B62:G62)</f>
        <v/>
      </c>
      <c r="I62" s="9" t="n">
        <v>1026.27</v>
      </c>
    </row>
    <row r="63">
      <c r="A63" s="14" t="inlineStr">
        <is>
          <t>דומינוס פיצה ראשון מזרח *ת.משלוח**החל משעה 11:00 *</t>
        </is>
      </c>
      <c r="B63" s="4" t="n">
        <v>30</v>
      </c>
      <c r="C63" s="4" t="n">
        <v>30</v>
      </c>
      <c r="D63" s="4" t="n">
        <v>30</v>
      </c>
      <c r="E63" s="4" t="inlineStr"/>
      <c r="F63" s="12" t="inlineStr"/>
      <c r="G63" s="4" t="inlineStr"/>
      <c r="H63" s="8">
        <f>SUM(B63:G63)</f>
        <v/>
      </c>
      <c r="I63" s="9" t="n">
        <v>1026.27</v>
      </c>
    </row>
    <row r="64">
      <c r="A64" s="14" t="inlineStr">
        <is>
          <t>דומינוס פיצה ראשון מערב *ת.משלוח**החל משעה 11:00 *</t>
        </is>
      </c>
      <c r="B64" s="4" t="n">
        <v>30</v>
      </c>
      <c r="C64" s="4" t="n">
        <v>30</v>
      </c>
      <c r="D64" s="4" t="n">
        <v>30</v>
      </c>
      <c r="E64" s="4" t="inlineStr"/>
      <c r="F64" s="12" t="inlineStr"/>
      <c r="G64" s="4" t="inlineStr"/>
      <c r="H64" s="8">
        <f>SUM(B64:G64)</f>
        <v/>
      </c>
      <c r="I64" s="9" t="n">
        <v>1026.27</v>
      </c>
    </row>
    <row r="65">
      <c r="A65" s="14" t="inlineStr">
        <is>
          <t>דומינוס פיצה ראשון מרכז *ת.משלוח* *החל משעה 11:00*</t>
        </is>
      </c>
      <c r="B65" s="4" t="n">
        <v>30</v>
      </c>
      <c r="C65" s="4" t="n">
        <v>30</v>
      </c>
      <c r="D65" s="4" t="n">
        <v>30</v>
      </c>
      <c r="E65" s="4" t="inlineStr"/>
      <c r="F65" s="12" t="inlineStr"/>
      <c r="G65" s="4" t="inlineStr"/>
      <c r="H65" s="8">
        <f>SUM(B65:G65)</f>
        <v/>
      </c>
      <c r="I65" s="9" t="n">
        <v>1026.27</v>
      </c>
    </row>
    <row r="66">
      <c r="A66" s="14" t="inlineStr">
        <is>
          <t>דומינוס פיצה רהט  *ת.משלוח* *החל מ:11:00 *</t>
        </is>
      </c>
      <c r="B66" s="4" t="n">
        <v>30</v>
      </c>
      <c r="C66" s="4" t="n">
        <v>30</v>
      </c>
      <c r="D66" s="4" t="n">
        <v>30</v>
      </c>
      <c r="E66" s="4" t="inlineStr"/>
      <c r="F66" s="12" t="inlineStr"/>
      <c r="G66" s="4" t="inlineStr"/>
      <c r="H66" s="8">
        <f>SUM(B66:G66)</f>
        <v/>
      </c>
      <c r="I66" s="9" t="n">
        <v>1026.27</v>
      </c>
    </row>
    <row r="67">
      <c r="A67" s="14" t="inlineStr">
        <is>
          <t>דומינוס פיצה רחובות אזורים *ת.משלוח**החל מ:11:00 *</t>
        </is>
      </c>
      <c r="B67" s="4" t="n">
        <v>30</v>
      </c>
      <c r="C67" s="4" t="n">
        <v>30</v>
      </c>
      <c r="D67" s="4" t="n">
        <v>30</v>
      </c>
      <c r="E67" s="4" t="inlineStr"/>
      <c r="F67" s="12" t="inlineStr"/>
      <c r="G67" s="4" t="inlineStr"/>
      <c r="H67" s="8">
        <f>SUM(B67:G67)</f>
        <v/>
      </c>
      <c r="I67" s="9" t="n">
        <v>1026.27</v>
      </c>
    </row>
    <row r="68">
      <c r="A68" s="14" t="inlineStr">
        <is>
          <t>דומינוס פיצה רחובות פארק המדע*ת.משלוח*החל מ:11:00*</t>
        </is>
      </c>
      <c r="B68" s="4" t="n">
        <v>30</v>
      </c>
      <c r="C68" s="4" t="n">
        <v>30</v>
      </c>
      <c r="D68" s="4" t="n">
        <v>30</v>
      </c>
      <c r="E68" s="4" t="inlineStr"/>
      <c r="F68" s="12" t="inlineStr"/>
      <c r="G68" s="4" t="inlineStr"/>
      <c r="H68" s="8">
        <f>SUM(B68:G68)</f>
        <v/>
      </c>
      <c r="I68" s="9" t="n">
        <v>1026.27</v>
      </c>
    </row>
    <row r="69">
      <c r="A69" s="14" t="inlineStr">
        <is>
          <t>דומינוס פיצה רמלה *ת.משלוח* *החל מ:11:00 *</t>
        </is>
      </c>
      <c r="B69" s="4" t="n">
        <v>30</v>
      </c>
      <c r="C69" s="4" t="n">
        <v>30</v>
      </c>
      <c r="D69" s="4" t="n">
        <v>30</v>
      </c>
      <c r="E69" s="4" t="inlineStr"/>
      <c r="F69" s="12" t="inlineStr"/>
      <c r="G69" s="4" t="inlineStr"/>
      <c r="H69" s="8">
        <f>SUM(B69:G69)</f>
        <v/>
      </c>
      <c r="I69" s="9" t="n">
        <v>1026.27</v>
      </c>
    </row>
    <row r="70">
      <c r="A70" s="14" t="inlineStr">
        <is>
          <t>דומינוס פיצה רמת אביב  *ת.משלוח* *החל משעה 11:00 *</t>
        </is>
      </c>
      <c r="B70" s="4" t="n">
        <v>30</v>
      </c>
      <c r="C70" s="4" t="n">
        <v>30</v>
      </c>
      <c r="D70" s="4" t="n">
        <v>30</v>
      </c>
      <c r="E70" s="4" t="inlineStr"/>
      <c r="F70" s="12" t="inlineStr"/>
      <c r="G70" s="4" t="inlineStr"/>
      <c r="H70" s="8">
        <f>SUM(B70:G70)</f>
        <v/>
      </c>
      <c r="I70" s="9" t="n">
        <v>888.99</v>
      </c>
    </row>
    <row r="71">
      <c r="A71" s="14" t="inlineStr">
        <is>
          <t>דומינוס פיצה רמת החייל *ת.משלוח* *החל משעה 11:00 *</t>
        </is>
      </c>
      <c r="B71" s="4" t="n">
        <v>30</v>
      </c>
      <c r="C71" s="4" t="n">
        <v>30</v>
      </c>
      <c r="D71" s="4" t="n">
        <v>30</v>
      </c>
      <c r="E71" s="4" t="inlineStr"/>
      <c r="F71" s="12" t="inlineStr"/>
      <c r="G71" s="4" t="inlineStr"/>
      <c r="H71" s="8">
        <f>SUM(B71:G71)</f>
        <v/>
      </c>
      <c r="I71" s="9" t="n">
        <v>1026.27</v>
      </c>
    </row>
    <row r="72">
      <c r="A72" s="14" t="inlineStr">
        <is>
          <t>דומינוס פיצה רמת השרון *ת.משלוח* *החל משעה 11:00 *</t>
        </is>
      </c>
      <c r="B72" s="4" t="n">
        <v>30</v>
      </c>
      <c r="C72" s="4" t="n">
        <v>30</v>
      </c>
      <c r="D72" s="4" t="n">
        <v>30</v>
      </c>
      <c r="E72" s="4" t="inlineStr"/>
      <c r="F72" s="12" t="inlineStr"/>
      <c r="G72" s="4" t="inlineStr"/>
      <c r="H72" s="8">
        <f>SUM(B72:G72)</f>
        <v/>
      </c>
      <c r="I72" s="9" t="n">
        <v>888.99</v>
      </c>
    </row>
    <row r="73">
      <c r="A73" s="14" t="inlineStr">
        <is>
          <t>דומינוס פיצה רמת ישי  *ת.משלוח* *החל מ:11:00 *</t>
        </is>
      </c>
      <c r="B73" s="4" t="n">
        <v>30</v>
      </c>
      <c r="C73" s="4" t="n">
        <v>30</v>
      </c>
      <c r="D73" s="4" t="n">
        <v>30</v>
      </c>
      <c r="E73" s="4" t="inlineStr"/>
      <c r="F73" s="12" t="inlineStr"/>
      <c r="G73" s="4" t="inlineStr"/>
      <c r="H73" s="8">
        <f>SUM(B73:G73)</f>
        <v/>
      </c>
      <c r="I73" s="9" t="n">
        <v>1026.27</v>
      </c>
    </row>
    <row r="74">
      <c r="A74" s="14" t="inlineStr">
        <is>
          <t>דומינוס פיצה רעננה *ת.משלוח* *החל משעה 11:00 *</t>
        </is>
      </c>
      <c r="B74" s="4" t="n">
        <v>30</v>
      </c>
      <c r="C74" s="4" t="n">
        <v>30</v>
      </c>
      <c r="D74" s="4" t="n">
        <v>30</v>
      </c>
      <c r="E74" s="4" t="inlineStr"/>
      <c r="F74" s="12" t="inlineStr"/>
      <c r="G74" s="4" t="inlineStr"/>
      <c r="H74" s="8">
        <f>SUM(B74:G74)</f>
        <v/>
      </c>
      <c r="I74" s="9" t="n">
        <v>1026.27</v>
      </c>
    </row>
    <row r="75">
      <c r="A75" s="14" t="inlineStr">
        <is>
          <t>דומינוס פיצה תלפיות *ת.משלוח* *החל משעה 11:00 *</t>
        </is>
      </c>
      <c r="B75" s="4" t="n">
        <v>30</v>
      </c>
      <c r="C75" s="4" t="n">
        <v>30</v>
      </c>
      <c r="D75" s="4" t="n">
        <v>30</v>
      </c>
      <c r="E75" s="4" t="inlineStr"/>
      <c r="F75" s="12" t="inlineStr"/>
      <c r="G75" s="4" t="inlineStr"/>
      <c r="H75" s="8">
        <f>SUM(B75:G75)</f>
        <v/>
      </c>
      <c r="I75" s="9" t="n">
        <v>888.99</v>
      </c>
    </row>
    <row r="76">
      <c r="A76" s="14" t="inlineStr">
        <is>
          <t>וואלט אופריישנס סרוויסס ישראל  בע"מ -   *לא להקלדה</t>
        </is>
      </c>
      <c r="B76" s="4" t="n">
        <v>1527</v>
      </c>
      <c r="C76" s="4" t="n">
        <v>1254</v>
      </c>
      <c r="D76" s="4" t="n">
        <v>612</v>
      </c>
      <c r="E76" s="4" t="inlineStr"/>
      <c r="F76" s="12" t="n">
        <v>2670</v>
      </c>
      <c r="G76" s="4" t="n">
        <v>5525</v>
      </c>
      <c r="H76" s="8">
        <f>SUM(B76:G76)</f>
        <v/>
      </c>
      <c r="I76" s="9" t="n">
        <v>526051.71</v>
      </c>
    </row>
    <row r="77">
      <c r="A77" s="14" t="inlineStr">
        <is>
          <t>חוות נעמי בורוכוב *ת. משלוח*</t>
        </is>
      </c>
      <c r="B77" s="4" t="n">
        <v>24</v>
      </c>
      <c r="C77" s="4" t="n">
        <v>24</v>
      </c>
      <c r="D77" s="4" t="n">
        <v>12</v>
      </c>
      <c r="E77" s="4" t="inlineStr"/>
      <c r="F77" s="12" t="inlineStr"/>
      <c r="G77" s="4" t="n">
        <v>21</v>
      </c>
      <c r="H77" s="8">
        <f>SUM(B77:G77)</f>
        <v/>
      </c>
      <c r="I77" s="9" t="n">
        <v>2534.75</v>
      </c>
    </row>
    <row r="78">
      <c r="A78" s="14" t="inlineStr">
        <is>
          <t>חוות נעמי חשמונאים *ת. משלוח*</t>
        </is>
      </c>
      <c r="B78" s="4" t="inlineStr"/>
      <c r="C78" s="4" t="inlineStr"/>
      <c r="D78" s="4" t="inlineStr"/>
      <c r="E78" s="4" t="inlineStr"/>
      <c r="F78" s="12" t="inlineStr"/>
      <c r="G78" s="4" t="n">
        <v>30</v>
      </c>
      <c r="H78" s="8">
        <f>SUM(B78:G78)</f>
        <v/>
      </c>
      <c r="I78" s="9" t="n">
        <v>2489.83</v>
      </c>
    </row>
    <row r="79">
      <c r="A79" s="14" t="inlineStr">
        <is>
          <t>חוות נעמי כורזין *ת. משלוח*</t>
        </is>
      </c>
      <c r="B79" s="4" t="n">
        <v>56</v>
      </c>
      <c r="C79" s="4" t="n">
        <v>66</v>
      </c>
      <c r="D79" s="4" t="n">
        <v>6</v>
      </c>
      <c r="E79" s="4" t="inlineStr"/>
      <c r="F79" s="12" t="inlineStr"/>
      <c r="G79" s="4" t="n">
        <v>48</v>
      </c>
      <c r="H79" s="8">
        <f>SUM(B79:G79)</f>
        <v/>
      </c>
      <c r="I79" s="9" t="n">
        <v>5673.73</v>
      </c>
    </row>
    <row r="80">
      <c r="A80" s="14" t="inlineStr">
        <is>
          <t>חוות נעמי מודעין *ת. משלוח*</t>
        </is>
      </c>
      <c r="B80" s="4" t="n">
        <v>10</v>
      </c>
      <c r="C80" s="4" t="n">
        <v>6</v>
      </c>
      <c r="D80" s="4" t="n">
        <v>6</v>
      </c>
      <c r="E80" s="4" t="inlineStr"/>
      <c r="F80" s="12" t="inlineStr"/>
      <c r="G80" s="4" t="n">
        <v>12</v>
      </c>
      <c r="H80" s="8">
        <f>SUM(B80:G80)</f>
        <v/>
      </c>
      <c r="I80" s="9" t="n">
        <v>1286.46</v>
      </c>
    </row>
    <row r="81">
      <c r="A81" s="14" t="inlineStr">
        <is>
          <t>חוות נעמי סביונים *ת. משלוח*</t>
        </is>
      </c>
      <c r="B81" s="4" t="n">
        <v>20</v>
      </c>
      <c r="C81" s="4" t="n">
        <v>12</v>
      </c>
      <c r="D81" s="4" t="inlineStr"/>
      <c r="E81" s="4" t="inlineStr"/>
      <c r="F81" s="12" t="inlineStr"/>
      <c r="G81" s="4" t="n">
        <v>12</v>
      </c>
      <c r="H81" s="8">
        <f>SUM(B81:G81)</f>
        <v/>
      </c>
      <c r="I81" s="9" t="n">
        <v>1418.65</v>
      </c>
    </row>
    <row r="82">
      <c r="A82" s="14" t="inlineStr">
        <is>
          <t>חוות נעמי רעננה *ת. משלוח*</t>
        </is>
      </c>
      <c r="B82" s="4" t="n">
        <v>24</v>
      </c>
      <c r="C82" s="4" t="n">
        <v>24</v>
      </c>
      <c r="D82" s="4" t="n">
        <v>12</v>
      </c>
      <c r="E82" s="4" t="inlineStr"/>
      <c r="F82" s="12" t="inlineStr"/>
      <c r="G82" s="4" t="n">
        <v>21</v>
      </c>
      <c r="H82" s="8">
        <f>SUM(B82:G82)</f>
        <v/>
      </c>
      <c r="I82" s="9" t="n">
        <v>2534.75</v>
      </c>
    </row>
    <row r="83">
      <c r="A83" s="14" t="inlineStr">
        <is>
          <t>חוות נעמי שוהם *ת. משלוח*</t>
        </is>
      </c>
      <c r="B83" s="4" t="n">
        <v>26</v>
      </c>
      <c r="C83" s="4" t="inlineStr"/>
      <c r="D83" s="4" t="inlineStr"/>
      <c r="E83" s="4" t="inlineStr"/>
      <c r="F83" s="12" t="inlineStr"/>
      <c r="G83" s="4" t="n">
        <v>12</v>
      </c>
      <c r="H83" s="8">
        <f>SUM(B83:G83)</f>
        <v/>
      </c>
      <c r="I83" s="9" t="n">
        <v>1338.99</v>
      </c>
    </row>
    <row r="84">
      <c r="A84" s="14" t="inlineStr">
        <is>
          <t>ינגו דלי ישראל בע"מ</t>
        </is>
      </c>
      <c r="B84" s="4" t="n">
        <v>42</v>
      </c>
      <c r="C84" s="4" t="n">
        <v>264</v>
      </c>
      <c r="D84" s="4" t="n">
        <v>180</v>
      </c>
      <c r="E84" s="4" t="inlineStr"/>
      <c r="F84" s="12" t="n">
        <v>45</v>
      </c>
      <c r="G84" s="4" t="n">
        <v>177</v>
      </c>
      <c r="H84" s="8">
        <f>SUM(B84:G84)</f>
        <v/>
      </c>
      <c r="I84" s="9" t="n">
        <v>33718.28</v>
      </c>
    </row>
    <row r="85">
      <c r="A85" s="14" t="inlineStr">
        <is>
          <t>כרמלה</t>
        </is>
      </c>
      <c r="B85" s="4" t="inlineStr"/>
      <c r="C85" s="4" t="inlineStr"/>
      <c r="D85" s="4" t="inlineStr"/>
      <c r="E85" s="4" t="inlineStr"/>
      <c r="F85" s="12" t="n">
        <v>150</v>
      </c>
      <c r="G85" s="4" t="n">
        <v>30</v>
      </c>
      <c r="H85" s="8">
        <f>SUM(B85:G85)</f>
        <v/>
      </c>
      <c r="I85" s="9" t="n">
        <v>4470.3</v>
      </c>
    </row>
    <row r="86">
      <c r="A86" s="14" t="inlineStr">
        <is>
          <t>נוי השדה אונליין פ"ת*ת.משלוח*</t>
        </is>
      </c>
      <c r="B86" s="4" t="n">
        <v>90</v>
      </c>
      <c r="C86" s="4" t="n">
        <v>48</v>
      </c>
      <c r="D86" s="4" t="n">
        <v>48</v>
      </c>
      <c r="E86" s="4" t="inlineStr"/>
      <c r="F86" s="12" t="inlineStr"/>
      <c r="G86" s="4" t="inlineStr"/>
      <c r="H86" s="8">
        <f>SUM(B86:G86)</f>
        <v/>
      </c>
      <c r="I86" s="9" t="n">
        <v>2436.43</v>
      </c>
    </row>
    <row r="87">
      <c r="A87" s="14" t="inlineStr">
        <is>
          <t>נוי השדה באר יעקב *ת.משלוח*</t>
        </is>
      </c>
      <c r="B87" s="4" t="n">
        <v>30</v>
      </c>
      <c r="C87" s="4" t="n">
        <v>30</v>
      </c>
      <c r="D87" s="4" t="n">
        <v>18</v>
      </c>
      <c r="E87" s="4" t="inlineStr"/>
      <c r="F87" s="12" t="inlineStr"/>
      <c r="G87" s="4" t="inlineStr"/>
      <c r="H87" s="8">
        <f>SUM(B87:G87)</f>
        <v/>
      </c>
      <c r="I87" s="9" t="n">
        <v>1022.03</v>
      </c>
    </row>
    <row r="88">
      <c r="A88" s="14" t="inlineStr">
        <is>
          <t>נוי השדה גבעת שמואל *ת.משלוח*</t>
        </is>
      </c>
      <c r="B88" s="4" t="n">
        <v>30</v>
      </c>
      <c r="C88" s="4" t="n">
        <v>30</v>
      </c>
      <c r="D88" s="4" t="n">
        <v>18</v>
      </c>
      <c r="E88" s="4" t="inlineStr"/>
      <c r="F88" s="12" t="inlineStr"/>
      <c r="G88" s="4" t="inlineStr"/>
      <c r="H88" s="8">
        <f>SUM(B88:G88)</f>
        <v/>
      </c>
      <c r="I88" s="9" t="n">
        <v>1022.03</v>
      </c>
    </row>
    <row r="89">
      <c r="A89" s="14" t="inlineStr">
        <is>
          <t>נוי השדה גבעתיים *ת.משלוח*</t>
        </is>
      </c>
      <c r="B89" s="4" t="n">
        <v>30</v>
      </c>
      <c r="C89" s="4" t="n">
        <v>30</v>
      </c>
      <c r="D89" s="4" t="n">
        <v>18</v>
      </c>
      <c r="E89" s="4" t="inlineStr"/>
      <c r="F89" s="12" t="inlineStr"/>
      <c r="G89" s="4" t="inlineStr"/>
      <c r="H89" s="8">
        <f>SUM(B89:G89)</f>
        <v/>
      </c>
      <c r="I89" s="9" t="n">
        <v>1022.03</v>
      </c>
    </row>
    <row r="90">
      <c r="A90" s="14" t="inlineStr">
        <is>
          <t>נוי השדה הוד השרון  *ת.משלוח*</t>
        </is>
      </c>
      <c r="B90" s="4" t="n">
        <v>30</v>
      </c>
      <c r="C90" s="4" t="n">
        <v>30</v>
      </c>
      <c r="D90" s="4" t="n">
        <v>18</v>
      </c>
      <c r="E90" s="4" t="inlineStr"/>
      <c r="F90" s="12" t="inlineStr"/>
      <c r="G90" s="4" t="inlineStr"/>
      <c r="H90" s="8">
        <f>SUM(B90:G90)</f>
        <v/>
      </c>
      <c r="I90" s="9" t="n">
        <v>1022.03</v>
      </c>
    </row>
    <row r="91">
      <c r="A91" s="14" t="inlineStr">
        <is>
          <t>נוי השדה יהוד קניון סביונים *ת.משלוח*</t>
        </is>
      </c>
      <c r="B91" s="4" t="n">
        <v>30</v>
      </c>
      <c r="C91" s="4" t="n">
        <v>30</v>
      </c>
      <c r="D91" s="4" t="n">
        <v>18</v>
      </c>
      <c r="E91" s="4" t="inlineStr"/>
      <c r="F91" s="12" t="inlineStr"/>
      <c r="G91" s="4" t="inlineStr"/>
      <c r="H91" s="8">
        <f>SUM(B91:G91)</f>
        <v/>
      </c>
      <c r="I91" s="9" t="n">
        <v>1022.03</v>
      </c>
    </row>
    <row r="92">
      <c r="A92" s="14" t="inlineStr">
        <is>
          <t>נוי השדה מודיעין *ת.משלוח*</t>
        </is>
      </c>
      <c r="B92" s="4" t="n">
        <v>30</v>
      </c>
      <c r="C92" s="4" t="n">
        <v>30</v>
      </c>
      <c r="D92" s="4" t="n">
        <v>18</v>
      </c>
      <c r="E92" s="4" t="inlineStr"/>
      <c r="F92" s="12" t="inlineStr"/>
      <c r="G92" s="4" t="inlineStr"/>
      <c r="H92" s="8">
        <f>SUM(B92:G92)</f>
        <v/>
      </c>
      <c r="I92" s="9" t="n">
        <v>1022.03</v>
      </c>
    </row>
    <row r="93">
      <c r="A93" s="14" t="inlineStr">
        <is>
          <t>נוי השדה קרית אונו *ת.משלוח*</t>
        </is>
      </c>
      <c r="B93" s="4" t="n">
        <v>30</v>
      </c>
      <c r="C93" s="4" t="n">
        <v>30</v>
      </c>
      <c r="D93" s="4" t="n">
        <v>18</v>
      </c>
      <c r="E93" s="4" t="inlineStr"/>
      <c r="F93" s="12" t="inlineStr"/>
      <c r="G93" s="4" t="inlineStr"/>
      <c r="H93" s="8">
        <f>SUM(B93:G93)</f>
        <v/>
      </c>
      <c r="I93" s="9" t="n">
        <v>1022.03</v>
      </c>
    </row>
    <row r="94">
      <c r="A94" s="14" t="inlineStr">
        <is>
          <t>נוי השדה ראש העין *ת.משלוח*</t>
        </is>
      </c>
      <c r="B94" s="4" t="n">
        <v>30</v>
      </c>
      <c r="C94" s="4" t="n">
        <v>30</v>
      </c>
      <c r="D94" s="4" t="n">
        <v>18</v>
      </c>
      <c r="E94" s="4" t="inlineStr"/>
      <c r="F94" s="12" t="inlineStr"/>
      <c r="G94" s="4" t="inlineStr"/>
      <c r="H94" s="8">
        <f>SUM(B94:G94)</f>
        <v/>
      </c>
      <c r="I94" s="9" t="n">
        <v>1022.03</v>
      </c>
    </row>
    <row r="95">
      <c r="A95" s="14" t="inlineStr">
        <is>
          <t>נוי השדה ראשון נרקיסים  *ת.משלוח*</t>
        </is>
      </c>
      <c r="B95" s="4" t="n">
        <v>30</v>
      </c>
      <c r="C95" s="4" t="n">
        <v>30</v>
      </c>
      <c r="D95" s="4" t="n">
        <v>18</v>
      </c>
      <c r="E95" s="4" t="inlineStr"/>
      <c r="F95" s="12" t="inlineStr"/>
      <c r="G95" s="4" t="inlineStr"/>
      <c r="H95" s="8">
        <f>SUM(B95:G95)</f>
        <v/>
      </c>
      <c r="I95" s="9" t="n">
        <v>1022.03</v>
      </c>
    </row>
    <row r="96">
      <c r="A96" s="14" t="inlineStr">
        <is>
          <t>נוי השדה רמת אפעל *ת.משלוח*</t>
        </is>
      </c>
      <c r="B96" s="4" t="n">
        <v>30</v>
      </c>
      <c r="C96" s="4" t="n">
        <v>30</v>
      </c>
      <c r="D96" s="4" t="n">
        <v>18</v>
      </c>
      <c r="E96" s="4" t="inlineStr"/>
      <c r="F96" s="12" t="inlineStr"/>
      <c r="G96" s="4" t="inlineStr"/>
      <c r="H96" s="8">
        <f>SUM(B96:G96)</f>
        <v/>
      </c>
      <c r="I96" s="9" t="n">
        <v>1022.03</v>
      </c>
    </row>
    <row r="97">
      <c r="A97" s="14" t="inlineStr">
        <is>
          <t>נוי השדה שרונה מרקט *ת.משלוח*</t>
        </is>
      </c>
      <c r="B97" s="4" t="n">
        <v>30</v>
      </c>
      <c r="C97" s="4" t="n">
        <v>30</v>
      </c>
      <c r="D97" s="4" t="n">
        <v>18</v>
      </c>
      <c r="E97" s="4" t="inlineStr"/>
      <c r="F97" s="12" t="inlineStr"/>
      <c r="G97" s="4" t="inlineStr"/>
      <c r="H97" s="8">
        <f>SUM(B97:G97)</f>
        <v/>
      </c>
      <c r="I97" s="9" t="n">
        <v>1022.03</v>
      </c>
    </row>
    <row r="99">
      <c r="A99" s="13" t="inlineStr">
        <is>
          <t>Feb '26</t>
        </is>
      </c>
    </row>
    <row r="100">
      <c r="A100" s="2" t="inlineStr">
        <is>
          <t>Customer</t>
        </is>
      </c>
      <c r="B100" s="2" t="inlineStr">
        <is>
          <t>Chocolate (units)</t>
        </is>
      </c>
      <c r="C100" s="2" t="inlineStr">
        <is>
          <t>Vanilla (units)</t>
        </is>
      </c>
      <c r="D100" s="2" t="inlineStr">
        <is>
          <t>Mango (units)</t>
        </is>
      </c>
      <c r="E100" s="2" t="inlineStr">
        <is>
          <t>Pistachio (units)</t>
        </is>
      </c>
      <c r="F100" s="2" t="inlineStr">
        <is>
          <t>Magadat (units)</t>
        </is>
      </c>
      <c r="G100" s="2" t="inlineStr">
        <is>
          <t>Dream Cake (units)</t>
        </is>
      </c>
      <c r="H100" s="2" t="inlineStr">
        <is>
          <t>Total Units</t>
        </is>
      </c>
      <c r="I100" s="2" t="inlineStr">
        <is>
          <t>Total ₪</t>
        </is>
      </c>
    </row>
    <row r="101">
      <c r="A101" s="14" t="inlineStr">
        <is>
          <t>עוגיפלצת</t>
        </is>
      </c>
      <c r="B101" s="4" t="n">
        <v>630</v>
      </c>
      <c r="C101" s="4" t="n">
        <v>492</v>
      </c>
      <c r="D101" s="4" t="n">
        <v>320</v>
      </c>
      <c r="E101" s="4" t="n">
        <v>140</v>
      </c>
      <c r="F101" s="12" t="inlineStr"/>
      <c r="G101" s="4" t="inlineStr"/>
      <c r="H101" s="8">
        <f>SUM(B101:G101)</f>
        <v/>
      </c>
      <c r="I101" s="9" t="n">
        <v>19967.79</v>
      </c>
    </row>
    <row r="102">
      <c r="A102" s="14" t="inlineStr">
        <is>
          <t>וולט</t>
        </is>
      </c>
      <c r="B102" s="4" t="n">
        <v>1180</v>
      </c>
      <c r="C102" s="4" t="n">
        <v>1008</v>
      </c>
      <c r="D102" s="4" t="n">
        <v>476</v>
      </c>
      <c r="E102" s="4" t="n">
        <v>3370</v>
      </c>
      <c r="F102" s="12" t="n">
        <v>1665</v>
      </c>
      <c r="G102" s="4" t="n">
        <v>3651</v>
      </c>
      <c r="H102" s="8">
        <f>SUM(B102:G102)</f>
        <v/>
      </c>
      <c r="I102" s="9" t="n">
        <v>400142.26</v>
      </c>
    </row>
    <row r="103">
      <c r="A103" s="14" t="inlineStr">
        <is>
          <t>חוות נעמי</t>
        </is>
      </c>
      <c r="B103" s="4" t="n">
        <v>20</v>
      </c>
      <c r="C103" s="4" t="n">
        <v>96</v>
      </c>
      <c r="D103" s="4" t="n">
        <v>52</v>
      </c>
      <c r="E103" s="4" t="n">
        <v>100</v>
      </c>
      <c r="F103" s="12" t="inlineStr"/>
      <c r="G103" s="4" t="n">
        <v>327</v>
      </c>
      <c r="H103" s="8">
        <f>SUM(B103:G103)</f>
        <v/>
      </c>
      <c r="I103" s="9" t="n">
        <v>30748.3</v>
      </c>
    </row>
    <row r="104">
      <c r="A104" s="14" t="inlineStr">
        <is>
          <t>ינגו</t>
        </is>
      </c>
      <c r="B104" s="4" t="n">
        <v>420</v>
      </c>
      <c r="C104" s="4" t="n">
        <v>348</v>
      </c>
      <c r="D104" s="4" t="n">
        <v>198</v>
      </c>
      <c r="E104" s="4" t="inlineStr"/>
      <c r="F104" s="12" t="inlineStr"/>
      <c r="G104" s="4" t="n">
        <v>80</v>
      </c>
      <c r="H104" s="8">
        <f>SUM(B104:G104)</f>
        <v/>
      </c>
      <c r="I104" s="9" t="n">
        <v>25041.13</v>
      </c>
    </row>
    <row r="105">
      <c r="A105" s="14" t="inlineStr">
        <is>
          <t>כרמלה</t>
        </is>
      </c>
      <c r="B105" s="4" t="n">
        <v>30</v>
      </c>
      <c r="C105" s="4" t="n">
        <v>30</v>
      </c>
      <c r="D105" s="4" t="inlineStr"/>
      <c r="E105" s="4" t="n">
        <v>30</v>
      </c>
      <c r="F105" s="12" t="inlineStr"/>
      <c r="G105" s="4" t="n">
        <v>15</v>
      </c>
      <c r="H105" s="8">
        <f>SUM(B105:G105)</f>
        <v/>
      </c>
      <c r="I105" s="9" t="n">
        <v>2676.27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Ma'ayan — Chain &amp; Product Detail</t>
        </is>
      </c>
    </row>
    <row r="3">
      <c r="A3" s="13" t="inlineStr">
        <is>
          <t>Dec '25</t>
        </is>
      </c>
    </row>
    <row r="4">
      <c r="A4" s="2" t="inlineStr">
        <is>
          <t>Chain</t>
        </is>
      </c>
      <c r="B4" s="2" t="inlineStr">
        <is>
          <t>Chocolate (units)</t>
        </is>
      </c>
      <c r="C4" s="2" t="inlineStr">
        <is>
          <t>Vanilla (units)</t>
        </is>
      </c>
      <c r="D4" s="2" t="inlineStr">
        <is>
          <t>Mango (units)</t>
        </is>
      </c>
      <c r="E4" s="2" t="inlineStr">
        <is>
          <t>Chocolate (₪)</t>
        </is>
      </c>
      <c r="F4" s="2" t="inlineStr">
        <is>
          <t>Vanilla (₪)</t>
        </is>
      </c>
      <c r="G4" s="2" t="inlineStr">
        <is>
          <t>Mango (₪)</t>
        </is>
      </c>
      <c r="H4" s="2" t="inlineStr">
        <is>
          <t>Total Units</t>
        </is>
      </c>
      <c r="I4" s="2" t="inlineStr">
        <is>
          <t>Total ₪</t>
        </is>
      </c>
    </row>
    <row r="5">
      <c r="A5" s="14" t="inlineStr">
        <is>
          <t>שוק פרטי</t>
        </is>
      </c>
      <c r="B5" s="4" t="n">
        <v>11556</v>
      </c>
      <c r="C5" s="4" t="n">
        <v>11021</v>
      </c>
      <c r="D5" s="4" t="n">
        <v>7713</v>
      </c>
      <c r="E5" s="5" t="n">
        <v>159472.8</v>
      </c>
      <c r="F5" s="5" t="n">
        <v>152089.8</v>
      </c>
      <c r="G5" s="5" t="n">
        <v>106439.4</v>
      </c>
      <c r="H5" s="8" t="n">
        <v>30290</v>
      </c>
      <c r="I5" s="9" t="n">
        <v>418002</v>
      </c>
    </row>
    <row r="6">
      <c r="A6" s="14" t="inlineStr">
        <is>
          <t>דור אלון</t>
        </is>
      </c>
      <c r="B6" s="4" t="n">
        <v>7910</v>
      </c>
      <c r="C6" s="4" t="n">
        <v>7390</v>
      </c>
      <c r="D6" s="4" t="n">
        <v>5594</v>
      </c>
      <c r="E6" s="5" t="n">
        <v>109158</v>
      </c>
      <c r="F6" s="5" t="n">
        <v>101982</v>
      </c>
      <c r="G6" s="5" t="n">
        <v>77197.2</v>
      </c>
      <c r="H6" s="8" t="n">
        <v>20894</v>
      </c>
      <c r="I6" s="9" t="n">
        <v>288337.2</v>
      </c>
    </row>
    <row r="7">
      <c r="A7" s="14" t="inlineStr">
        <is>
          <t>פז חברת נפט- סופר יודה</t>
        </is>
      </c>
      <c r="B7" s="4" t="n">
        <v>1818</v>
      </c>
      <c r="C7" s="4" t="n">
        <v>1716</v>
      </c>
      <c r="D7" s="4" t="n">
        <v>1338</v>
      </c>
      <c r="E7" s="5" t="n">
        <v>25088.4</v>
      </c>
      <c r="F7" s="5" t="n">
        <v>23680.8</v>
      </c>
      <c r="G7" s="5" t="n">
        <v>18464.4</v>
      </c>
      <c r="H7" s="8" t="n">
        <v>4872</v>
      </c>
      <c r="I7" s="9" t="n">
        <v>67233.60000000001</v>
      </c>
    </row>
    <row r="8">
      <c r="A8" s="14" t="inlineStr">
        <is>
          <t>פז ילו</t>
        </is>
      </c>
      <c r="B8" s="4" t="n">
        <v>936</v>
      </c>
      <c r="C8" s="4" t="n">
        <v>954</v>
      </c>
      <c r="D8" s="4" t="n">
        <v>822</v>
      </c>
      <c r="E8" s="5" t="n">
        <v>12916.8</v>
      </c>
      <c r="F8" s="5" t="n">
        <v>13165.2</v>
      </c>
      <c r="G8" s="5" t="n">
        <v>11343.6</v>
      </c>
      <c r="H8" s="8" t="n">
        <v>2712</v>
      </c>
      <c r="I8" s="9" t="n">
        <v>37425.6</v>
      </c>
    </row>
    <row r="9">
      <c r="A9" s="14" t="inlineStr">
        <is>
          <t>דלק מנטה</t>
        </is>
      </c>
      <c r="B9" s="4" t="n">
        <v>828</v>
      </c>
      <c r="C9" s="4" t="n">
        <v>846</v>
      </c>
      <c r="D9" s="4" t="n">
        <v>637</v>
      </c>
      <c r="E9" s="5" t="n">
        <v>11426.4</v>
      </c>
      <c r="F9" s="5" t="n">
        <v>11674.8</v>
      </c>
      <c r="G9" s="5" t="n">
        <v>8790.6</v>
      </c>
      <c r="H9" s="8" t="n">
        <v>2311</v>
      </c>
      <c r="I9" s="9" t="n">
        <v>31891.8</v>
      </c>
    </row>
    <row r="10">
      <c r="A10" s="14" t="inlineStr">
        <is>
          <t>סונול</t>
        </is>
      </c>
      <c r="B10" s="4" t="n">
        <v>246</v>
      </c>
      <c r="C10" s="4" t="n">
        <v>246</v>
      </c>
      <c r="D10" s="4" t="n">
        <v>168</v>
      </c>
      <c r="E10" s="5" t="n">
        <v>3394.8</v>
      </c>
      <c r="F10" s="5" t="n">
        <v>3394.8</v>
      </c>
      <c r="G10" s="5" t="n">
        <v>2318.4</v>
      </c>
      <c r="H10" s="8" t="n">
        <v>660</v>
      </c>
      <c r="I10" s="9" t="n">
        <v>9108</v>
      </c>
    </row>
    <row r="11">
      <c r="A11" s="14" t="inlineStr">
        <is>
          <t>שפר את אלי לוי בע"מ</t>
        </is>
      </c>
      <c r="B11" s="4" t="inlineStr"/>
      <c r="C11" s="4" t="inlineStr"/>
      <c r="D11" s="4" t="inlineStr"/>
      <c r="E11" s="5" t="inlineStr"/>
      <c r="F11" s="5" t="inlineStr"/>
      <c r="G11" s="5" t="inlineStr"/>
      <c r="H11" s="8" t="n">
        <v>0</v>
      </c>
      <c r="I11" s="9" t="n">
        <v>0</v>
      </c>
    </row>
    <row r="13">
      <c r="A13" s="13" t="inlineStr">
        <is>
          <t>Jan '26</t>
        </is>
      </c>
    </row>
    <row r="14">
      <c r="A14" s="2" t="inlineStr">
        <is>
          <t>Chain</t>
        </is>
      </c>
      <c r="B14" s="2" t="inlineStr">
        <is>
          <t>Chocolate (units)</t>
        </is>
      </c>
      <c r="C14" s="2" t="inlineStr">
        <is>
          <t>Vanilla (units)</t>
        </is>
      </c>
      <c r="D14" s="2" t="inlineStr">
        <is>
          <t>Mango (units)</t>
        </is>
      </c>
      <c r="E14" s="2" t="inlineStr">
        <is>
          <t>Chocolate (₪)</t>
        </is>
      </c>
      <c r="F14" s="2" t="inlineStr">
        <is>
          <t>Vanilla (₪)</t>
        </is>
      </c>
      <c r="G14" s="2" t="inlineStr">
        <is>
          <t>Mango (₪)</t>
        </is>
      </c>
      <c r="H14" s="2" t="inlineStr">
        <is>
          <t>Total Units</t>
        </is>
      </c>
      <c r="I14" s="2" t="inlineStr">
        <is>
          <t>Total ₪</t>
        </is>
      </c>
    </row>
    <row r="15">
      <c r="A15" s="14" t="inlineStr">
        <is>
          <t>שוק פרטי</t>
        </is>
      </c>
      <c r="B15" s="4" t="n">
        <v>6624</v>
      </c>
      <c r="C15" s="4" t="n">
        <v>5536</v>
      </c>
      <c r="D15" s="4" t="n">
        <v>3403</v>
      </c>
      <c r="E15" s="5" t="n">
        <v>91411.2</v>
      </c>
      <c r="F15" s="5" t="n">
        <v>76396.8</v>
      </c>
      <c r="G15" s="5" t="n">
        <v>46961.4</v>
      </c>
      <c r="H15" s="8" t="n">
        <v>15563</v>
      </c>
      <c r="I15" s="9" t="n">
        <v>214769.4</v>
      </c>
    </row>
    <row r="16">
      <c r="A16" s="14" t="inlineStr">
        <is>
          <t>פז ילו</t>
        </is>
      </c>
      <c r="B16" s="4" t="n">
        <v>2494</v>
      </c>
      <c r="C16" s="4" t="n">
        <v>2052</v>
      </c>
      <c r="D16" s="4" t="n">
        <v>1350</v>
      </c>
      <c r="E16" s="5" t="n">
        <v>34417.2</v>
      </c>
      <c r="F16" s="5" t="n">
        <v>28317.6</v>
      </c>
      <c r="G16" s="5" t="n">
        <v>18630</v>
      </c>
      <c r="H16" s="8" t="n">
        <v>5896</v>
      </c>
      <c r="I16" s="9" t="n">
        <v>81364.8</v>
      </c>
    </row>
    <row r="17">
      <c r="A17" s="14" t="inlineStr">
        <is>
          <t>דור אלון</t>
        </is>
      </c>
      <c r="B17" s="4" t="n">
        <v>2390</v>
      </c>
      <c r="C17" s="4" t="n">
        <v>2020</v>
      </c>
      <c r="D17" s="4" t="n">
        <v>1019</v>
      </c>
      <c r="E17" s="5" t="n">
        <v>32982</v>
      </c>
      <c r="F17" s="5" t="n">
        <v>27876</v>
      </c>
      <c r="G17" s="5" t="n">
        <v>14062.2</v>
      </c>
      <c r="H17" s="8" t="n">
        <v>5429</v>
      </c>
      <c r="I17" s="9" t="n">
        <v>74920.2</v>
      </c>
    </row>
    <row r="18">
      <c r="A18" s="14" t="inlineStr">
        <is>
          <t>דלק מנטה</t>
        </is>
      </c>
      <c r="B18" s="4" t="n">
        <v>657</v>
      </c>
      <c r="C18" s="4" t="n">
        <v>489</v>
      </c>
      <c r="D18" s="4" t="n">
        <v>378</v>
      </c>
      <c r="E18" s="5" t="n">
        <v>9066.6</v>
      </c>
      <c r="F18" s="5" t="n">
        <v>6748.2</v>
      </c>
      <c r="G18" s="5" t="n">
        <v>5216.4</v>
      </c>
      <c r="H18" s="8" t="n">
        <v>1524</v>
      </c>
      <c r="I18" s="9" t="n">
        <v>21031.2</v>
      </c>
    </row>
    <row r="19">
      <c r="A19" s="14" t="inlineStr">
        <is>
          <t>פז חברת נפט- סופר יודה</t>
        </is>
      </c>
      <c r="B19" s="4" t="n">
        <v>656</v>
      </c>
      <c r="C19" s="4" t="n">
        <v>553</v>
      </c>
      <c r="D19" s="4" t="n">
        <v>244</v>
      </c>
      <c r="E19" s="5" t="n">
        <v>9052.799999999999</v>
      </c>
      <c r="F19" s="5" t="n">
        <v>7631.4</v>
      </c>
      <c r="G19" s="5" t="n">
        <v>3367.2</v>
      </c>
      <c r="H19" s="8" t="n">
        <v>1453</v>
      </c>
      <c r="I19" s="9" t="n">
        <v>20051.4</v>
      </c>
    </row>
    <row r="20">
      <c r="A20" s="14" t="inlineStr">
        <is>
          <t>סונול</t>
        </is>
      </c>
      <c r="B20" s="4" t="n">
        <v>184</v>
      </c>
      <c r="C20" s="4" t="n">
        <v>200</v>
      </c>
      <c r="D20" s="4" t="n">
        <v>104</v>
      </c>
      <c r="E20" s="5" t="n">
        <v>2539.2</v>
      </c>
      <c r="F20" s="5" t="n">
        <v>2760</v>
      </c>
      <c r="G20" s="5" t="n">
        <v>1435.2</v>
      </c>
      <c r="H20" s="8" t="n">
        <v>488</v>
      </c>
      <c r="I20" s="9" t="n">
        <v>6734.4</v>
      </c>
    </row>
    <row r="22">
      <c r="A22" s="13" t="inlineStr">
        <is>
          <t>Feb '26</t>
        </is>
      </c>
    </row>
    <row r="23">
      <c r="A23" s="2" t="inlineStr">
        <is>
          <t>Chain</t>
        </is>
      </c>
      <c r="B23" s="2" t="inlineStr">
        <is>
          <t>Chocolate (units)</t>
        </is>
      </c>
      <c r="C23" s="2" t="inlineStr">
        <is>
          <t>Vanilla (units)</t>
        </is>
      </c>
      <c r="D23" s="2" t="inlineStr">
        <is>
          <t>Mango (units)</t>
        </is>
      </c>
      <c r="E23" s="2" t="inlineStr">
        <is>
          <t>Chocolate (₪)</t>
        </is>
      </c>
      <c r="F23" s="2" t="inlineStr">
        <is>
          <t>Vanilla (₪)</t>
        </is>
      </c>
      <c r="G23" s="2" t="inlineStr">
        <is>
          <t>Mango (₪)</t>
        </is>
      </c>
      <c r="H23" s="2" t="inlineStr">
        <is>
          <t>Total Units</t>
        </is>
      </c>
      <c r="I23" s="2" t="inlineStr">
        <is>
          <t>Total ₪</t>
        </is>
      </c>
    </row>
    <row r="24">
      <c r="A24" s="14" t="inlineStr">
        <is>
          <t xml:space="preserve">שוק פרטי </t>
        </is>
      </c>
      <c r="B24" s="4" t="n">
        <v>5590</v>
      </c>
      <c r="C24" s="4" t="n">
        <v>6240</v>
      </c>
      <c r="D24" s="4" t="n">
        <v>3610</v>
      </c>
      <c r="E24" s="5" t="n">
        <v>77142</v>
      </c>
      <c r="F24" s="5" t="n">
        <v>86112</v>
      </c>
      <c r="G24" s="5" t="n">
        <v>49818</v>
      </c>
      <c r="H24" s="8" t="n">
        <v>15440</v>
      </c>
      <c r="I24" s="9" t="n">
        <v>213072</v>
      </c>
    </row>
    <row r="25">
      <c r="A25" s="14" t="inlineStr">
        <is>
          <t xml:space="preserve">דור אלון </t>
        </is>
      </c>
      <c r="B25" s="4" t="n">
        <v>3208</v>
      </c>
      <c r="C25" s="4" t="n">
        <v>3289</v>
      </c>
      <c r="D25" s="4" t="n">
        <v>1529</v>
      </c>
      <c r="E25" s="5" t="n">
        <v>44270.4</v>
      </c>
      <c r="F25" s="5" t="n">
        <v>45388.2</v>
      </c>
      <c r="G25" s="5" t="n">
        <v>21100.2</v>
      </c>
      <c r="H25" s="8" t="n">
        <v>8026</v>
      </c>
      <c r="I25" s="9" t="n">
        <v>110758.8</v>
      </c>
    </row>
    <row r="26">
      <c r="A26" s="14" t="inlineStr">
        <is>
          <t xml:space="preserve">פז יילו </t>
        </is>
      </c>
      <c r="B26" s="4" t="n">
        <v>2378</v>
      </c>
      <c r="C26" s="4" t="n">
        <v>2410</v>
      </c>
      <c r="D26" s="4" t="n">
        <v>1767</v>
      </c>
      <c r="E26" s="5" t="n">
        <v>32816.4</v>
      </c>
      <c r="F26" s="5" t="n">
        <v>33258</v>
      </c>
      <c r="G26" s="5" t="n">
        <v>24384.6</v>
      </c>
      <c r="H26" s="8" t="n">
        <v>6555</v>
      </c>
      <c r="I26" s="9" t="n">
        <v>90459</v>
      </c>
    </row>
    <row r="27">
      <c r="A27" s="14" t="inlineStr">
        <is>
          <t>פז חברת נפט- סופר יודה</t>
        </is>
      </c>
      <c r="B27" s="4" t="n">
        <v>770</v>
      </c>
      <c r="C27" s="4" t="n">
        <v>680</v>
      </c>
      <c r="D27" s="4" t="n">
        <v>390</v>
      </c>
      <c r="E27" s="5" t="n">
        <v>10626</v>
      </c>
      <c r="F27" s="5" t="n">
        <v>9384</v>
      </c>
      <c r="G27" s="5" t="n">
        <v>5382</v>
      </c>
      <c r="H27" s="8" t="n">
        <v>1840</v>
      </c>
      <c r="I27" s="9" t="n">
        <v>25392</v>
      </c>
    </row>
    <row r="28">
      <c r="A28" s="14" t="inlineStr">
        <is>
          <t xml:space="preserve">דלק מנטה </t>
        </is>
      </c>
      <c r="B28" s="4" t="n">
        <v>352</v>
      </c>
      <c r="C28" s="4" t="n">
        <v>378</v>
      </c>
      <c r="D28" s="4" t="n">
        <v>268</v>
      </c>
      <c r="E28" s="5" t="n">
        <v>4857.6</v>
      </c>
      <c r="F28" s="5" t="n">
        <v>5216.4</v>
      </c>
      <c r="G28" s="5" t="n">
        <v>3698.4</v>
      </c>
      <c r="H28" s="8" t="n">
        <v>998</v>
      </c>
      <c r="I28" s="9" t="n">
        <v>13772.4</v>
      </c>
    </row>
    <row r="29">
      <c r="A29" s="14" t="inlineStr">
        <is>
          <t>סונול</t>
        </is>
      </c>
      <c r="B29" s="4" t="n">
        <v>190</v>
      </c>
      <c r="C29" s="4" t="n">
        <v>200</v>
      </c>
      <c r="D29" s="4" t="n">
        <v>88</v>
      </c>
      <c r="E29" s="5" t="n">
        <v>2622</v>
      </c>
      <c r="F29" s="5" t="n">
        <v>2760</v>
      </c>
      <c r="G29" s="5" t="n">
        <v>1214.4</v>
      </c>
      <c r="H29" s="8" t="n">
        <v>478</v>
      </c>
      <c r="I29" s="9" t="n">
        <v>6596.4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2026-03-04T16:49:16Z</dcterms:created>
  <dcterms:modified xmlns:dcterms="http://purl.org/dc/terms/" xmlns:xsi="http://www.w3.org/2001/XMLSchema-instance" xsi:type="dcterms:W3CDTF">2026-03-04T16:49:16Z</dcterms:modified>
</cp:coreProperties>
</file>