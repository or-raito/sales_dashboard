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 Performance" sheetId="1" state="visible" r:id="rId3"/>
    <sheet name="SKU Pricing" sheetId="2" state="visible" r:id="rId4"/>
    <sheet name="Product Mix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<sst xmlns="http://schemas.openxmlformats.org/spreadsheetml/2006/main" count="330" uniqueCount="73">
  <si>
    <t xml:space="preserve">Ice Cream Sales Dashboard — Customer Performance  |  Price DB 24.2</t>
  </si>
  <si>
    <t xml:space="preserve">Data as of: March 2026  |  Revenue in NIS (₪)</t>
  </si>
  <si>
    <t xml:space="preserve">#</t>
  </si>
  <si>
    <t xml:space="preserve">Customer</t>
  </si>
  <si>
    <t xml:space="preserve">Distributor</t>
  </si>
  <si>
    <t xml:space="preserve">Dist%</t>
  </si>
  <si>
    <t xml:space="preserve">Dec 2025
Revenue (₪)</t>
  </si>
  <si>
    <t xml:space="preserve">Jan 2026
Revenue (₪)</t>
  </si>
  <si>
    <t xml:space="preserve">Feb 2026
Revenue (₪)</t>
  </si>
  <si>
    <t xml:space="preserve">Total Rev
(₪)</t>
  </si>
  <si>
    <t xml:space="preserve">Dec
Units</t>
  </si>
  <si>
    <t xml:space="preserve">Jan
Units</t>
  </si>
  <si>
    <t xml:space="preserve">Feb
Units</t>
  </si>
  <si>
    <t xml:space="preserve">Total
Units</t>
  </si>
  <si>
    <t xml:space="preserve">Avg Price
(₪)</t>
  </si>
  <si>
    <t xml:space="preserve">Gross
Margin%</t>
  </si>
  <si>
    <t xml:space="preserve">Op
Margin%</t>
  </si>
  <si>
    <t xml:space="preserve">Active
SKUs</t>
  </si>
  <si>
    <t xml:space="preserve">AMPM</t>
  </si>
  <si>
    <t xml:space="preserve">מעיין</t>
  </si>
  <si>
    <t xml:space="preserve">אלונית</t>
  </si>
  <si>
    <t xml:space="preserve">גוד פארם</t>
  </si>
  <si>
    <t xml:space="preserve">אייסדרים</t>
  </si>
  <si>
    <t xml:space="preserve">דלק</t>
  </si>
  <si>
    <t xml:space="preserve">וולט מרקט</t>
  </si>
  <si>
    <t xml:space="preserve">טיב טעם</t>
  </si>
  <si>
    <t xml:space="preserve">ינגו דלי</t>
  </si>
  <si>
    <t xml:space="preserve">כרמלה</t>
  </si>
  <si>
    <t xml:space="preserve">נוי השדה</t>
  </si>
  <si>
    <t xml:space="preserve">קארפור</t>
  </si>
  <si>
    <t xml:space="preserve">שוק פרטי</t>
  </si>
  <si>
    <t xml:space="preserve">עוגיפלצת</t>
  </si>
  <si>
    <t xml:space="preserve">פז ילו</t>
  </si>
  <si>
    <t xml:space="preserve">פז סופר יודה</t>
  </si>
  <si>
    <t xml:space="preserve">סונול</t>
  </si>
  <si>
    <t xml:space="preserve">דומינוס</t>
  </si>
  <si>
    <t xml:space="preserve">חוות נעמי</t>
  </si>
  <si>
    <t xml:space="preserve">חממה</t>
  </si>
  <si>
    <t xml:space="preserve">פוט לוקר</t>
  </si>
  <si>
    <t xml:space="preserve">TOTAL / AVG</t>
  </si>
  <si>
    <t xml:space="preserve">SKU Price List by Customer  |  Price DB 24.2</t>
  </si>
  <si>
    <t xml:space="preserve">Blue = input values  |  GM% = (Price − Cost) / Price  |  OM% = GM% − Dist%</t>
  </si>
  <si>
    <t xml:space="preserve">Product</t>
  </si>
  <si>
    <t xml:space="preserve">Price (₪) VAT0</t>
  </si>
  <si>
    <t xml:space="preserve">Price (₪) VAT18%</t>
  </si>
  <si>
    <t xml:space="preserve">Cost (₪)</t>
  </si>
  <si>
    <t xml:space="preserve">GM%</t>
  </si>
  <si>
    <t xml:space="preserve">OM%</t>
  </si>
  <si>
    <t xml:space="preserve">שוקולד</t>
  </si>
  <si>
    <t xml:space="preserve">וניל</t>
  </si>
  <si>
    <t xml:space="preserve">מנגו</t>
  </si>
  <si>
    <t xml:space="preserve">פיסטוק</t>
  </si>
  <si>
    <t xml:space="preserve">מארז שוקולד</t>
  </si>
  <si>
    <t xml:space="preserve">מארז וניל</t>
  </si>
  <si>
    <t xml:space="preserve">מארז מיקס</t>
  </si>
  <si>
    <t xml:space="preserve">dream cake</t>
  </si>
  <si>
    <t xml:space="preserve">מארז מנגו</t>
  </si>
  <si>
    <t xml:space="preserve">Product Mix by Customer  |  Units (All Periods)</t>
  </si>
  <si>
    <t xml:space="preserve">Total Units</t>
  </si>
  <si>
    <t xml:space="preserve">TOTAL</t>
  </si>
  <si>
    <t xml:space="preserve">Portfolio Summary</t>
  </si>
  <si>
    <t xml:space="preserve">Total Customers</t>
  </si>
  <si>
    <t xml:space="preserve">מעיין נציגויות (25%)</t>
  </si>
  <si>
    <t xml:space="preserve">אייסדרים (15%)</t>
  </si>
  <si>
    <t xml:space="preserve">Avg Gross Margin</t>
  </si>
  <si>
    <t xml:space="preserve">Avg Operating Margin</t>
  </si>
  <si>
    <t xml:space="preserve">Total Dec 2025 Revenue (₪)</t>
  </si>
  <si>
    <t xml:space="preserve">Total Jan 2026 Revenue (₪)</t>
  </si>
  <si>
    <t xml:space="preserve">Total Feb 2026 Revenue (₪, MTD)</t>
  </si>
  <si>
    <t xml:space="preserve">Best GM Customer</t>
  </si>
  <si>
    <t xml:space="preserve">פוט לוקר (58.1%)</t>
  </si>
  <si>
    <t xml:space="preserve">Best OM Customer</t>
  </si>
  <si>
    <t xml:space="preserve">פוט לוקר (43.1%)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</si>
</sst>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\₪#,##0;&quot;(₪&quot;#,##0\);\-"/>
    <numFmt numFmtId="167" formatCode="\₪#,##0.00"/>
    <numFmt numFmtId="168" formatCode="0.0%;\(0.0%\);\-"/>
    <numFmt numFmtId="169" formatCode="#,##0"/>
    <numFmt numFmtId="170" formatCode="#,##0;\(#,##0\);\-"/>
    <numFmt numFmtId="171" formatCode="0.00%"/>
    <numFmt numFmtId="172" formatCode="\₪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BFBFB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1F4E7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E1F2"/>
      </patternFill>
    </fill>
    <fill>
      <patternFill patternType="solid">
        <fgColor rgb="FFD9E1F2"/>
        <bgColor rgb="FFC6EFCE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8" min="5" style="0" width="14"/>
    <col collapsed="false" customWidth="true" hidden="false" outlineLevel="0" max="11" min="9" style="0" width="8"/>
    <col collapsed="false" customWidth="true" hidden="false" outlineLevel="0" max="12" min="12" style="0" width="9"/>
    <col collapsed="false" customWidth="true" hidden="false" outlineLevel="0" max="14" min="13" style="0" width="12"/>
    <col collapsed="false" customWidth="true" hidden="false" outlineLevel="0" max="15" min="15" style="0" width="11"/>
    <col collapsed="false" customWidth="true" hidden="false" outlineLevel="0" max="16" min="16" style="0" width="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34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customFormat="false" ht="15" hidden="false" customHeight="false" outlineLevel="0" collapsed="false">
      <c r="A4" s="4" t="n">
        <v>1</v>
      </c>
      <c r="B4" s="4" t="s">
        <v>18</v>
      </c>
      <c r="C4" s="4" t="s">
        <v>19</v>
      </c>
      <c r="D4" s="5" t="n">
        <v>0.25</v>
      </c>
      <c r="E4" s="6" t="n">
        <v>4200</v>
      </c>
      <c r="F4" s="6" t="n">
        <v>3850</v>
      </c>
      <c r="G4" s="6" t="n">
        <v>2100</v>
      </c>
      <c r="H4" s="7" t="n">
        <f aca="false">E4+F4+G4</f>
        <v>10150</v>
      </c>
      <c r="I4" s="8" t="n">
        <v>340</v>
      </c>
      <c r="J4" s="8" t="n">
        <v>311</v>
      </c>
      <c r="K4" s="8" t="n">
        <v>170</v>
      </c>
      <c r="L4" s="9" t="n">
        <f aca="false">I4+J4+K4</f>
        <v>821</v>
      </c>
      <c r="M4" s="10" t="n">
        <v>12.36</v>
      </c>
      <c r="N4" s="11" t="n">
        <v>0.4742</v>
      </c>
      <c r="O4" s="11" t="n">
        <v>0.2242</v>
      </c>
      <c r="P4" s="4" t="n">
        <v>4</v>
      </c>
    </row>
    <row r="5" customFormat="false" ht="15" hidden="false" customHeight="false" outlineLevel="0" collapsed="false">
      <c r="A5" s="4" t="n">
        <v>2</v>
      </c>
      <c r="B5" s="4" t="s">
        <v>20</v>
      </c>
      <c r="C5" s="4" t="s">
        <v>19</v>
      </c>
      <c r="D5" s="5" t="n">
        <v>0.25</v>
      </c>
      <c r="E5" s="6" t="n">
        <v>3100</v>
      </c>
      <c r="F5" s="6" t="n">
        <v>2900</v>
      </c>
      <c r="G5" s="6" t="n">
        <v>1600</v>
      </c>
      <c r="H5" s="7" t="n">
        <f aca="false">E5+F5+G5</f>
        <v>7600</v>
      </c>
      <c r="I5" s="8" t="n">
        <v>253</v>
      </c>
      <c r="J5" s="8" t="n">
        <v>237</v>
      </c>
      <c r="K5" s="8" t="n">
        <v>131</v>
      </c>
      <c r="L5" s="9" t="n">
        <f aca="false">I5+J5+K5</f>
        <v>621</v>
      </c>
      <c r="M5" s="10" t="n">
        <v>12.25</v>
      </c>
      <c r="N5" s="11" t="n">
        <v>0.4695</v>
      </c>
      <c r="O5" s="11" t="n">
        <v>0.2195</v>
      </c>
      <c r="P5" s="4" t="n">
        <v>4</v>
      </c>
    </row>
    <row r="6" customFormat="false" ht="15" hidden="false" customHeight="false" outlineLevel="0" collapsed="false">
      <c r="A6" s="4" t="n">
        <v>3</v>
      </c>
      <c r="B6" s="4" t="s">
        <v>21</v>
      </c>
      <c r="C6" s="4" t="s">
        <v>22</v>
      </c>
      <c r="D6" s="5" t="n">
        <v>0.15</v>
      </c>
      <c r="E6" s="6" t="n">
        <v>2800</v>
      </c>
      <c r="F6" s="6" t="n">
        <v>2600</v>
      </c>
      <c r="G6" s="6" t="n">
        <v>1400</v>
      </c>
      <c r="H6" s="7" t="n">
        <f aca="false">E6+F6+G6</f>
        <v>6800</v>
      </c>
      <c r="I6" s="8" t="n">
        <v>221</v>
      </c>
      <c r="J6" s="8" t="n">
        <v>205</v>
      </c>
      <c r="K6" s="8" t="n">
        <v>111</v>
      </c>
      <c r="L6" s="9" t="n">
        <f aca="false">I6+J6+K6</f>
        <v>537</v>
      </c>
      <c r="M6" s="10" t="n">
        <v>12.67</v>
      </c>
      <c r="N6" s="11" t="n">
        <v>0.487</v>
      </c>
      <c r="O6" s="12" t="n">
        <v>0.337</v>
      </c>
      <c r="P6" s="4" t="n">
        <v>4</v>
      </c>
    </row>
    <row r="7" customFormat="false" ht="15" hidden="false" customHeight="false" outlineLevel="0" collapsed="false">
      <c r="A7" s="4" t="n">
        <v>4</v>
      </c>
      <c r="B7" s="4" t="s">
        <v>23</v>
      </c>
      <c r="C7" s="4" t="s">
        <v>19</v>
      </c>
      <c r="D7" s="5" t="n">
        <v>0.25</v>
      </c>
      <c r="E7" s="6" t="n">
        <v>1900</v>
      </c>
      <c r="F7" s="6" t="n">
        <v>1750</v>
      </c>
      <c r="G7" s="6" t="n">
        <v>950</v>
      </c>
      <c r="H7" s="7" t="n">
        <f aca="false">E7+F7+G7</f>
        <v>4600</v>
      </c>
      <c r="I7" s="8" t="n">
        <v>165</v>
      </c>
      <c r="J7" s="8" t="n">
        <v>152</v>
      </c>
      <c r="K7" s="8" t="n">
        <v>83</v>
      </c>
      <c r="L7" s="9" t="n">
        <f aca="false">I7+J7+K7</f>
        <v>400</v>
      </c>
      <c r="M7" s="10" t="n">
        <v>11.5</v>
      </c>
      <c r="N7" s="11" t="n">
        <v>0.4435</v>
      </c>
      <c r="O7" s="13" t="n">
        <v>0.1935</v>
      </c>
      <c r="P7" s="4" t="n">
        <v>3</v>
      </c>
    </row>
    <row r="8" customFormat="false" ht="15" hidden="false" customHeight="false" outlineLevel="0" collapsed="false">
      <c r="A8" s="4" t="n">
        <v>5</v>
      </c>
      <c r="B8" s="4" t="s">
        <v>24</v>
      </c>
      <c r="C8" s="4" t="s">
        <v>22</v>
      </c>
      <c r="D8" s="5" t="n">
        <v>0.15</v>
      </c>
      <c r="E8" s="6" t="n">
        <v>5100</v>
      </c>
      <c r="F8" s="6" t="n">
        <v>4800</v>
      </c>
      <c r="G8" s="6" t="n">
        <v>2600</v>
      </c>
      <c r="H8" s="7" t="n">
        <f aca="false">E8+F8+G8</f>
        <v>12500</v>
      </c>
      <c r="I8" s="8" t="n">
        <v>125</v>
      </c>
      <c r="J8" s="8" t="n">
        <v>118</v>
      </c>
      <c r="K8" s="8" t="n">
        <v>64</v>
      </c>
      <c r="L8" s="9" t="n">
        <f aca="false">I8+J8+K8</f>
        <v>307</v>
      </c>
      <c r="M8" s="10" t="n">
        <v>40.81</v>
      </c>
      <c r="N8" s="13" t="n">
        <v>0.3744</v>
      </c>
      <c r="O8" s="11" t="n">
        <v>0.2244</v>
      </c>
      <c r="P8" s="4" t="n">
        <v>3</v>
      </c>
    </row>
    <row r="9" customFormat="false" ht="15" hidden="false" customHeight="false" outlineLevel="0" collapsed="false">
      <c r="A9" s="4" t="n">
        <v>6</v>
      </c>
      <c r="B9" s="4" t="s">
        <v>25</v>
      </c>
      <c r="C9" s="4" t="s">
        <v>19</v>
      </c>
      <c r="D9" s="5" t="n">
        <v>0.25</v>
      </c>
      <c r="E9" s="6" t="n">
        <v>6200</v>
      </c>
      <c r="F9" s="6" t="n">
        <v>5900</v>
      </c>
      <c r="G9" s="6" t="n">
        <v>3100</v>
      </c>
      <c r="H9" s="7" t="n">
        <f aca="false">E9+F9+G9</f>
        <v>15200</v>
      </c>
      <c r="I9" s="8" t="n">
        <v>477</v>
      </c>
      <c r="J9" s="8" t="n">
        <v>454</v>
      </c>
      <c r="K9" s="8" t="n">
        <v>238</v>
      </c>
      <c r="L9" s="9" t="n">
        <f aca="false">I9+J9+K9</f>
        <v>1169</v>
      </c>
      <c r="M9" s="10" t="n">
        <v>13</v>
      </c>
      <c r="N9" s="12" t="n">
        <v>0.5</v>
      </c>
      <c r="O9" s="11" t="n">
        <v>0.25</v>
      </c>
      <c r="P9" s="4" t="n">
        <v>4</v>
      </c>
    </row>
    <row r="10" customFormat="false" ht="15" hidden="false" customHeight="false" outlineLevel="0" collapsed="false">
      <c r="A10" s="4" t="n">
        <v>7</v>
      </c>
      <c r="B10" s="4" t="s">
        <v>26</v>
      </c>
      <c r="C10" s="4" t="s">
        <v>22</v>
      </c>
      <c r="D10" s="5" t="n">
        <v>0.15</v>
      </c>
      <c r="E10" s="6" t="n">
        <v>3800</v>
      </c>
      <c r="F10" s="6" t="n">
        <v>3500</v>
      </c>
      <c r="G10" s="6" t="n">
        <v>1900</v>
      </c>
      <c r="H10" s="7" t="n">
        <f aca="false">E10+F10+G10</f>
        <v>9200</v>
      </c>
      <c r="I10" s="8" t="n">
        <v>129</v>
      </c>
      <c r="J10" s="8" t="n">
        <v>119</v>
      </c>
      <c r="K10" s="8" t="n">
        <v>65</v>
      </c>
      <c r="L10" s="9" t="n">
        <f aca="false">I10+J10+K10</f>
        <v>313</v>
      </c>
      <c r="M10" s="10" t="n">
        <v>29.42</v>
      </c>
      <c r="N10" s="11" t="n">
        <v>0.4025</v>
      </c>
      <c r="O10" s="11" t="n">
        <v>0.2525</v>
      </c>
      <c r="P10" s="4" t="n">
        <v>3</v>
      </c>
    </row>
    <row r="11" customFormat="false" ht="15" hidden="false" customHeight="false" outlineLevel="0" collapsed="false">
      <c r="A11" s="4" t="n">
        <v>8</v>
      </c>
      <c r="B11" s="4" t="s">
        <v>27</v>
      </c>
      <c r="C11" s="4" t="s">
        <v>22</v>
      </c>
      <c r="D11" s="5" t="n">
        <v>0.15</v>
      </c>
      <c r="E11" s="6" t="n">
        <v>4400</v>
      </c>
      <c r="F11" s="6" t="n">
        <v>4100</v>
      </c>
      <c r="G11" s="6" t="n">
        <v>2200</v>
      </c>
      <c r="H11" s="7" t="n">
        <f aca="false">E11+F11+G11</f>
        <v>10700</v>
      </c>
      <c r="I11" s="8" t="n">
        <v>198</v>
      </c>
      <c r="J11" s="8" t="n">
        <v>184</v>
      </c>
      <c r="K11" s="8" t="n">
        <v>99</v>
      </c>
      <c r="L11" s="9" t="n">
        <f aca="false">I11+J11+K11</f>
        <v>481</v>
      </c>
      <c r="M11" s="10" t="n">
        <v>22.23</v>
      </c>
      <c r="N11" s="11" t="n">
        <v>0.4349</v>
      </c>
      <c r="O11" s="11" t="n">
        <v>0.2849</v>
      </c>
      <c r="P11" s="4" t="n">
        <v>4</v>
      </c>
    </row>
    <row r="12" customFormat="false" ht="15" hidden="false" customHeight="false" outlineLevel="0" collapsed="false">
      <c r="A12" s="4" t="n">
        <v>9</v>
      </c>
      <c r="B12" s="4" t="s">
        <v>28</v>
      </c>
      <c r="C12" s="4" t="s">
        <v>22</v>
      </c>
      <c r="D12" s="5" t="n">
        <v>0.15</v>
      </c>
      <c r="E12" s="6" t="n">
        <v>3300</v>
      </c>
      <c r="F12" s="6" t="n">
        <v>3100</v>
      </c>
      <c r="G12" s="6" t="n">
        <v>1700</v>
      </c>
      <c r="H12" s="7" t="n">
        <f aca="false">E12+F12+G12</f>
        <v>8100</v>
      </c>
      <c r="I12" s="8" t="n">
        <v>243</v>
      </c>
      <c r="J12" s="8" t="n">
        <v>228</v>
      </c>
      <c r="K12" s="8" t="n">
        <v>125</v>
      </c>
      <c r="L12" s="9" t="n">
        <f aca="false">I12+J12+K12</f>
        <v>596</v>
      </c>
      <c r="M12" s="10" t="n">
        <v>13.59</v>
      </c>
      <c r="N12" s="11" t="n">
        <v>0.4953</v>
      </c>
      <c r="O12" s="12" t="n">
        <v>0.3453</v>
      </c>
      <c r="P12" s="4" t="n">
        <v>5</v>
      </c>
    </row>
    <row r="13" customFormat="false" ht="15" hidden="false" customHeight="false" outlineLevel="0" collapsed="false">
      <c r="A13" s="4" t="n">
        <v>10</v>
      </c>
      <c r="B13" s="4" t="s">
        <v>29</v>
      </c>
      <c r="C13" s="4" t="s">
        <v>19</v>
      </c>
      <c r="D13" s="5" t="n">
        <v>0.25</v>
      </c>
      <c r="E13" s="6" t="n">
        <v>8500</v>
      </c>
      <c r="F13" s="6" t="n">
        <v>8100</v>
      </c>
      <c r="G13" s="6" t="n">
        <v>4300</v>
      </c>
      <c r="H13" s="7" t="n">
        <f aca="false">E13+F13+G13</f>
        <v>20900</v>
      </c>
      <c r="I13" s="8" t="n">
        <v>586</v>
      </c>
      <c r="J13" s="8" t="n">
        <v>559</v>
      </c>
      <c r="K13" s="8" t="n">
        <v>297</v>
      </c>
      <c r="L13" s="9" t="n">
        <f aca="false">I13+J13+K13</f>
        <v>1442</v>
      </c>
      <c r="M13" s="10" t="n">
        <v>14.5</v>
      </c>
      <c r="N13" s="12" t="n">
        <v>0.5517</v>
      </c>
      <c r="O13" s="12" t="n">
        <v>0.3017</v>
      </c>
      <c r="P13" s="4" t="n">
        <v>4</v>
      </c>
    </row>
    <row r="14" customFormat="false" ht="15" hidden="false" customHeight="false" outlineLevel="0" collapsed="false">
      <c r="A14" s="4" t="n">
        <v>11</v>
      </c>
      <c r="B14" s="4" t="s">
        <v>30</v>
      </c>
      <c r="C14" s="4" t="s">
        <v>22</v>
      </c>
      <c r="D14" s="5" t="n">
        <v>0.15</v>
      </c>
      <c r="E14" s="6" t="n">
        <v>2200</v>
      </c>
      <c r="F14" s="6" t="n">
        <v>2050</v>
      </c>
      <c r="G14" s="6" t="n">
        <v>1100</v>
      </c>
      <c r="H14" s="7" t="n">
        <f aca="false">E14+F14+G14</f>
        <v>5350</v>
      </c>
      <c r="I14" s="8" t="n">
        <v>169</v>
      </c>
      <c r="J14" s="8" t="n">
        <v>158</v>
      </c>
      <c r="K14" s="8" t="n">
        <v>85</v>
      </c>
      <c r="L14" s="9" t="n">
        <f aca="false">I14+J14+K14</f>
        <v>412</v>
      </c>
      <c r="M14" s="10" t="n">
        <v>13</v>
      </c>
      <c r="N14" s="12" t="n">
        <v>0.5</v>
      </c>
      <c r="O14" s="12" t="n">
        <v>0.35</v>
      </c>
      <c r="P14" s="4" t="n">
        <v>4</v>
      </c>
    </row>
    <row r="15" customFormat="false" ht="15" hidden="false" customHeight="false" outlineLevel="0" collapsed="false">
      <c r="A15" s="4" t="n">
        <v>12</v>
      </c>
      <c r="B15" s="4" t="s">
        <v>31</v>
      </c>
      <c r="C15" s="4" t="s">
        <v>22</v>
      </c>
      <c r="D15" s="5" t="n">
        <v>0.15</v>
      </c>
      <c r="E15" s="6" t="n">
        <v>1800</v>
      </c>
      <c r="F15" s="6" t="n">
        <v>1700</v>
      </c>
      <c r="G15" s="6" t="n">
        <v>900</v>
      </c>
      <c r="H15" s="7" t="n">
        <f aca="false">E15+F15+G15</f>
        <v>4400</v>
      </c>
      <c r="I15" s="8" t="n">
        <v>129</v>
      </c>
      <c r="J15" s="8" t="n">
        <v>121</v>
      </c>
      <c r="K15" s="8" t="n">
        <v>64</v>
      </c>
      <c r="L15" s="9" t="n">
        <f aca="false">I15+J15+K15</f>
        <v>314</v>
      </c>
      <c r="M15" s="10" t="n">
        <v>14</v>
      </c>
      <c r="N15" s="12" t="n">
        <v>0.5357</v>
      </c>
      <c r="O15" s="12" t="n">
        <v>0.3857</v>
      </c>
      <c r="P15" s="4" t="n">
        <v>3</v>
      </c>
    </row>
    <row r="16" customFormat="false" ht="15" hidden="false" customHeight="false" outlineLevel="0" collapsed="false">
      <c r="A16" s="4" t="n">
        <v>13</v>
      </c>
      <c r="B16" s="4" t="s">
        <v>32</v>
      </c>
      <c r="C16" s="4" t="s">
        <v>19</v>
      </c>
      <c r="D16" s="5" t="n">
        <v>0.25</v>
      </c>
      <c r="E16" s="6" t="n">
        <v>2500</v>
      </c>
      <c r="F16" s="6" t="n">
        <v>2350</v>
      </c>
      <c r="G16" s="6" t="n">
        <v>1250</v>
      </c>
      <c r="H16" s="7" t="n">
        <f aca="false">E16+F16+G16</f>
        <v>6100</v>
      </c>
      <c r="I16" s="8" t="n">
        <v>227</v>
      </c>
      <c r="J16" s="8" t="n">
        <v>214</v>
      </c>
      <c r="K16" s="8" t="n">
        <v>114</v>
      </c>
      <c r="L16" s="9" t="n">
        <f aca="false">I16+J16+K16</f>
        <v>555</v>
      </c>
      <c r="M16" s="10" t="n">
        <v>11</v>
      </c>
      <c r="N16" s="11" t="n">
        <v>0.4091</v>
      </c>
      <c r="O16" s="13" t="n">
        <v>0.1591</v>
      </c>
      <c r="P16" s="4" t="n">
        <v>3</v>
      </c>
    </row>
    <row r="17" customFormat="false" ht="15" hidden="false" customHeight="false" outlineLevel="0" collapsed="false">
      <c r="A17" s="4" t="n">
        <v>14</v>
      </c>
      <c r="B17" s="4" t="s">
        <v>33</v>
      </c>
      <c r="C17" s="4" t="s">
        <v>19</v>
      </c>
      <c r="D17" s="5" t="n">
        <v>0.25</v>
      </c>
      <c r="E17" s="6" t="n">
        <v>2100</v>
      </c>
      <c r="F17" s="6" t="n">
        <v>1980</v>
      </c>
      <c r="G17" s="6" t="n">
        <v>1050</v>
      </c>
      <c r="H17" s="7" t="n">
        <f aca="false">E17+F17+G17</f>
        <v>5130</v>
      </c>
      <c r="I17" s="8" t="n">
        <v>191</v>
      </c>
      <c r="J17" s="8" t="n">
        <v>180</v>
      </c>
      <c r="K17" s="8" t="n">
        <v>95</v>
      </c>
      <c r="L17" s="9" t="n">
        <f aca="false">I17+J17+K17</f>
        <v>466</v>
      </c>
      <c r="M17" s="10" t="n">
        <v>11</v>
      </c>
      <c r="N17" s="11" t="n">
        <v>0.4091</v>
      </c>
      <c r="O17" s="13" t="n">
        <v>0.1591</v>
      </c>
      <c r="P17" s="4" t="n">
        <v>3</v>
      </c>
    </row>
    <row r="18" customFormat="false" ht="15" hidden="false" customHeight="false" outlineLevel="0" collapsed="false">
      <c r="A18" s="4" t="n">
        <v>15</v>
      </c>
      <c r="B18" s="4" t="s">
        <v>34</v>
      </c>
      <c r="C18" s="4" t="s">
        <v>19</v>
      </c>
      <c r="D18" s="5" t="n">
        <v>0.25</v>
      </c>
      <c r="E18" s="6" t="n">
        <v>3400</v>
      </c>
      <c r="F18" s="6" t="n">
        <v>3200</v>
      </c>
      <c r="G18" s="6" t="n">
        <v>1700</v>
      </c>
      <c r="H18" s="7" t="n">
        <f aca="false">E18+F18+G18</f>
        <v>8300</v>
      </c>
      <c r="I18" s="8" t="n">
        <v>243</v>
      </c>
      <c r="J18" s="8" t="n">
        <v>229</v>
      </c>
      <c r="K18" s="8" t="n">
        <v>121</v>
      </c>
      <c r="L18" s="9" t="n">
        <f aca="false">I18+J18+K18</f>
        <v>593</v>
      </c>
      <c r="M18" s="10" t="n">
        <v>14</v>
      </c>
      <c r="N18" s="12" t="n">
        <v>0.5357</v>
      </c>
      <c r="O18" s="11" t="n">
        <v>0.2857</v>
      </c>
      <c r="P18" s="4" t="n">
        <v>3</v>
      </c>
    </row>
    <row r="19" customFormat="false" ht="15" hidden="false" customHeight="false" outlineLevel="0" collapsed="false">
      <c r="A19" s="4" t="n">
        <v>16</v>
      </c>
      <c r="B19" s="4" t="s">
        <v>35</v>
      </c>
      <c r="C19" s="4" t="s">
        <v>22</v>
      </c>
      <c r="D19" s="5" t="n">
        <v>0.15</v>
      </c>
      <c r="E19" s="6" t="n">
        <v>1600</v>
      </c>
      <c r="F19" s="6" t="n">
        <v>1500</v>
      </c>
      <c r="G19" s="6" t="n">
        <v>800</v>
      </c>
      <c r="H19" s="7" t="n">
        <f aca="false">E19+F19+G19</f>
        <v>3900</v>
      </c>
      <c r="I19" s="8" t="n">
        <v>140</v>
      </c>
      <c r="J19" s="8" t="n">
        <v>132</v>
      </c>
      <c r="K19" s="8" t="n">
        <v>70</v>
      </c>
      <c r="L19" s="9" t="n">
        <f aca="false">I19+J19+K19</f>
        <v>342</v>
      </c>
      <c r="M19" s="10" t="n">
        <v>11.4</v>
      </c>
      <c r="N19" s="11" t="n">
        <v>0.4298</v>
      </c>
      <c r="O19" s="11" t="n">
        <v>0.2798</v>
      </c>
      <c r="P19" s="4" t="n">
        <v>3</v>
      </c>
    </row>
    <row r="20" customFormat="false" ht="15" hidden="false" customHeight="false" outlineLevel="0" collapsed="false">
      <c r="A20" s="4" t="n">
        <v>17</v>
      </c>
      <c r="B20" s="4" t="s">
        <v>36</v>
      </c>
      <c r="C20" s="4" t="s">
        <v>22</v>
      </c>
      <c r="D20" s="5" t="n">
        <v>0.15</v>
      </c>
      <c r="E20" s="6" t="n">
        <v>4700</v>
      </c>
      <c r="F20" s="6" t="n">
        <v>4400</v>
      </c>
      <c r="G20" s="6" t="n">
        <v>2350</v>
      </c>
      <c r="H20" s="7" t="n">
        <f aca="false">E20+F20+G20</f>
        <v>11450</v>
      </c>
      <c r="I20" s="8" t="n">
        <v>134</v>
      </c>
      <c r="J20" s="8" t="n">
        <v>126</v>
      </c>
      <c r="K20" s="8" t="n">
        <v>67</v>
      </c>
      <c r="L20" s="9" t="n">
        <f aca="false">I20+J20+K20</f>
        <v>327</v>
      </c>
      <c r="M20" s="10" t="n">
        <v>35.03</v>
      </c>
      <c r="N20" s="13" t="n">
        <v>0.3948</v>
      </c>
      <c r="O20" s="11" t="n">
        <v>0.2448</v>
      </c>
      <c r="P20" s="4" t="n">
        <v>4</v>
      </c>
    </row>
    <row r="21" customFormat="false" ht="15" hidden="false" customHeight="false" outlineLevel="0" collapsed="false">
      <c r="A21" s="4" t="n">
        <v>18</v>
      </c>
      <c r="B21" s="4" t="s">
        <v>37</v>
      </c>
      <c r="C21" s="4" t="s">
        <v>22</v>
      </c>
      <c r="D21" s="5" t="n">
        <v>0.15</v>
      </c>
      <c r="E21" s="6" t="n">
        <v>2600</v>
      </c>
      <c r="F21" s="6" t="n">
        <v>2450</v>
      </c>
      <c r="G21" s="6" t="n">
        <v>1300</v>
      </c>
      <c r="H21" s="7" t="n">
        <f aca="false">E21+F21+G21</f>
        <v>6350</v>
      </c>
      <c r="I21" s="8" t="n">
        <v>184</v>
      </c>
      <c r="J21" s="8" t="n">
        <v>174</v>
      </c>
      <c r="K21" s="8" t="n">
        <v>92</v>
      </c>
      <c r="L21" s="9" t="n">
        <f aca="false">I21+J21+K21</f>
        <v>450</v>
      </c>
      <c r="M21" s="10" t="n">
        <v>14.1</v>
      </c>
      <c r="N21" s="12" t="n">
        <v>0.539</v>
      </c>
      <c r="O21" s="12" t="n">
        <v>0.389</v>
      </c>
      <c r="P21" s="4" t="n">
        <v>4</v>
      </c>
    </row>
    <row r="22" customFormat="false" ht="15" hidden="false" customHeight="false" outlineLevel="0" collapsed="false">
      <c r="A22" s="4" t="n">
        <v>19</v>
      </c>
      <c r="B22" s="4" t="s">
        <v>38</v>
      </c>
      <c r="C22" s="4" t="s">
        <v>22</v>
      </c>
      <c r="D22" s="5" t="n">
        <v>0.15</v>
      </c>
      <c r="E22" s="6" t="n">
        <v>3900</v>
      </c>
      <c r="F22" s="6" t="n">
        <v>3700</v>
      </c>
      <c r="G22" s="6" t="n">
        <v>1950</v>
      </c>
      <c r="H22" s="7" t="n">
        <f aca="false">E22+F22+G22</f>
        <v>9550</v>
      </c>
      <c r="I22" s="8" t="n">
        <v>252</v>
      </c>
      <c r="J22" s="8" t="n">
        <v>239</v>
      </c>
      <c r="K22" s="8" t="n">
        <v>126</v>
      </c>
      <c r="L22" s="9" t="n">
        <f aca="false">I22+J22+K22</f>
        <v>617</v>
      </c>
      <c r="M22" s="10" t="n">
        <v>15.5</v>
      </c>
      <c r="N22" s="12" t="n">
        <v>0.5806</v>
      </c>
      <c r="O22" s="12" t="n">
        <v>0.4306</v>
      </c>
      <c r="P22" s="4" t="n">
        <v>4</v>
      </c>
    </row>
    <row r="23" customFormat="false" ht="21.75" hidden="false" customHeight="true" outlineLevel="0" collapsed="false">
      <c r="A23" s="14"/>
      <c r="B23" s="14" t="s">
        <v>39</v>
      </c>
      <c r="C23" s="14"/>
      <c r="D23" s="14"/>
      <c r="E23" s="15" t="n">
        <f aca="false">SUM(E4:E22)</f>
        <v>68100</v>
      </c>
      <c r="F23" s="15" t="n">
        <f aca="false">SUM(F4:F22)</f>
        <v>63930</v>
      </c>
      <c r="G23" s="15" t="n">
        <f aca="false">SUM(G4:G22)</f>
        <v>34250</v>
      </c>
      <c r="H23" s="15" t="n">
        <f aca="false">SUM(H4:H22)</f>
        <v>166280</v>
      </c>
      <c r="I23" s="16" t="n">
        <f aca="false">SUM(I4:I22)</f>
        <v>4406</v>
      </c>
      <c r="J23" s="16" t="n">
        <f aca="false">SUM(J4:J22)</f>
        <v>4140</v>
      </c>
      <c r="K23" s="16" t="n">
        <f aca="false">SUM(K4:K22)</f>
        <v>2217</v>
      </c>
      <c r="L23" s="16" t="n">
        <f aca="false">SUM(L4:L22)</f>
        <v>10763</v>
      </c>
      <c r="M23" s="14"/>
      <c r="N23" s="17" t="n">
        <f aca="false">AVERAGE(N4:N22)</f>
        <v>0.471936842105263</v>
      </c>
      <c r="O23" s="17" t="n">
        <f aca="false">AVERAGE(O4:O22)</f>
        <v>0.279831578947368</v>
      </c>
      <c r="P23" s="14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10"/>
    <col collapsed="false" customWidth="true" hidden="false" outlineLevel="0" max="8" min="7" style="0" width="9"/>
  </cols>
  <sheetData>
    <row r="1" customFormat="false" ht="27.75" hidden="false" customHeight="true" outlineLevel="0" collapsed="false">
      <c r="A1" s="18" t="s">
        <v>40</v>
      </c>
      <c r="B1" s="18"/>
      <c r="C1" s="18"/>
      <c r="D1" s="18"/>
      <c r="E1" s="18"/>
      <c r="F1" s="18"/>
      <c r="G1" s="18"/>
      <c r="H1" s="18"/>
    </row>
    <row r="2" customFormat="false" ht="15" hidden="false" customHeight="false" outlineLevel="0" collapsed="false">
      <c r="A2" s="19" t="s">
        <v>41</v>
      </c>
      <c r="B2" s="19"/>
      <c r="C2" s="19"/>
      <c r="D2" s="19"/>
      <c r="E2" s="19"/>
      <c r="F2" s="19"/>
      <c r="G2" s="19"/>
      <c r="H2" s="19"/>
    </row>
    <row r="3" customFormat="false" ht="27.75" hidden="false" customHeight="true" outlineLevel="0" collapsed="false">
      <c r="A3" s="3" t="s">
        <v>3</v>
      </c>
      <c r="B3" s="3" t="s">
        <v>4</v>
      </c>
      <c r="C3" s="3" t="s">
        <v>42</v>
      </c>
      <c r="D3" s="3" t="s">
        <v>43</v>
      </c>
      <c r="E3" s="3" t="s">
        <v>44</v>
      </c>
      <c r="F3" s="3" t="s">
        <v>45</v>
      </c>
      <c r="G3" s="3" t="s">
        <v>46</v>
      </c>
      <c r="H3" s="3" t="s">
        <v>47</v>
      </c>
    </row>
    <row r="4" customFormat="false" ht="15" hidden="false" customHeight="false" outlineLevel="0" collapsed="false">
      <c r="A4" s="4" t="s">
        <v>18</v>
      </c>
      <c r="B4" s="4" t="s">
        <v>19</v>
      </c>
      <c r="C4" s="4" t="s">
        <v>48</v>
      </c>
      <c r="D4" s="10" t="n">
        <v>11.7</v>
      </c>
      <c r="E4" s="10" t="n">
        <v>13.79</v>
      </c>
      <c r="F4" s="10" t="n">
        <v>6.5</v>
      </c>
      <c r="G4" s="20" t="n">
        <v>0.444</v>
      </c>
      <c r="H4" s="20" t="n">
        <v>0.194</v>
      </c>
    </row>
    <row r="5" customFormat="false" ht="15" hidden="false" customHeight="false" outlineLevel="0" collapsed="false">
      <c r="A5" s="4" t="s">
        <v>18</v>
      </c>
      <c r="B5" s="4" t="s">
        <v>19</v>
      </c>
      <c r="C5" s="4" t="s">
        <v>49</v>
      </c>
      <c r="D5" s="10" t="n">
        <v>11.7</v>
      </c>
      <c r="E5" s="10" t="n">
        <v>13.79</v>
      </c>
      <c r="F5" s="10" t="n">
        <v>6.5</v>
      </c>
      <c r="G5" s="20" t="n">
        <v>0.444</v>
      </c>
      <c r="H5" s="20" t="n">
        <v>0.194</v>
      </c>
    </row>
    <row r="6" customFormat="false" ht="15" hidden="false" customHeight="false" outlineLevel="0" collapsed="false">
      <c r="A6" s="4" t="s">
        <v>18</v>
      </c>
      <c r="B6" s="4" t="s">
        <v>19</v>
      </c>
      <c r="C6" s="4" t="s">
        <v>50</v>
      </c>
      <c r="D6" s="10" t="n">
        <v>12.5</v>
      </c>
      <c r="E6" s="10" t="n">
        <v>14.75</v>
      </c>
      <c r="F6" s="10" t="n">
        <v>6.5</v>
      </c>
      <c r="G6" s="20" t="n">
        <v>0.48</v>
      </c>
      <c r="H6" s="20" t="n">
        <v>0.23</v>
      </c>
    </row>
    <row r="7" customFormat="false" ht="15" hidden="false" customHeight="false" outlineLevel="0" collapsed="false">
      <c r="A7" s="4" t="s">
        <v>18</v>
      </c>
      <c r="B7" s="4" t="s">
        <v>19</v>
      </c>
      <c r="C7" s="4" t="s">
        <v>51</v>
      </c>
      <c r="D7" s="10" t="n">
        <v>14</v>
      </c>
      <c r="E7" s="10" t="n">
        <v>16.52</v>
      </c>
      <c r="F7" s="10" t="n">
        <v>7.9</v>
      </c>
      <c r="G7" s="20" t="n">
        <v>0.436</v>
      </c>
      <c r="H7" s="20" t="n">
        <v>0.186</v>
      </c>
    </row>
    <row r="8" customFormat="false" ht="15" hidden="false" customHeight="false" outlineLevel="0" collapsed="false">
      <c r="A8" s="4" t="s">
        <v>20</v>
      </c>
      <c r="B8" s="4" t="s">
        <v>19</v>
      </c>
      <c r="C8" s="4" t="s">
        <v>48</v>
      </c>
      <c r="D8" s="10" t="n">
        <v>11.7</v>
      </c>
      <c r="E8" s="10" t="n">
        <v>13.79</v>
      </c>
      <c r="F8" s="10" t="n">
        <v>6.5</v>
      </c>
      <c r="G8" s="20" t="n">
        <v>0.444</v>
      </c>
      <c r="H8" s="20" t="n">
        <v>0.194</v>
      </c>
    </row>
    <row r="9" customFormat="false" ht="15" hidden="false" customHeight="false" outlineLevel="0" collapsed="false">
      <c r="A9" s="4" t="s">
        <v>20</v>
      </c>
      <c r="B9" s="4" t="s">
        <v>19</v>
      </c>
      <c r="C9" s="4" t="s">
        <v>49</v>
      </c>
      <c r="D9" s="10" t="n">
        <v>11.7</v>
      </c>
      <c r="E9" s="10" t="n">
        <v>13.79</v>
      </c>
      <c r="F9" s="10" t="n">
        <v>6.5</v>
      </c>
      <c r="G9" s="20" t="n">
        <v>0.444</v>
      </c>
      <c r="H9" s="20" t="n">
        <v>0.194</v>
      </c>
    </row>
    <row r="10" customFormat="false" ht="15" hidden="false" customHeight="false" outlineLevel="0" collapsed="false">
      <c r="A10" s="4" t="s">
        <v>20</v>
      </c>
      <c r="B10" s="4" t="s">
        <v>19</v>
      </c>
      <c r="C10" s="4" t="s">
        <v>50</v>
      </c>
      <c r="D10" s="10" t="n">
        <v>11.7</v>
      </c>
      <c r="E10" s="10" t="n">
        <v>13.79</v>
      </c>
      <c r="F10" s="10" t="n">
        <v>6.5</v>
      </c>
      <c r="G10" s="20" t="n">
        <v>0.444</v>
      </c>
      <c r="H10" s="20" t="n">
        <v>0.194</v>
      </c>
    </row>
    <row r="11" customFormat="false" ht="15" hidden="false" customHeight="false" outlineLevel="0" collapsed="false">
      <c r="A11" s="4" t="s">
        <v>20</v>
      </c>
      <c r="B11" s="4" t="s">
        <v>19</v>
      </c>
      <c r="C11" s="4" t="s">
        <v>51</v>
      </c>
      <c r="D11" s="10" t="n">
        <v>14</v>
      </c>
      <c r="E11" s="10" t="n">
        <v>16.52</v>
      </c>
      <c r="F11" s="10" t="n">
        <v>7.9</v>
      </c>
      <c r="G11" s="20" t="n">
        <v>0.436</v>
      </c>
      <c r="H11" s="20" t="n">
        <v>0.186</v>
      </c>
    </row>
    <row r="12" customFormat="false" ht="15" hidden="false" customHeight="false" outlineLevel="0" collapsed="false">
      <c r="A12" s="4" t="s">
        <v>21</v>
      </c>
      <c r="B12" s="4" t="s">
        <v>22</v>
      </c>
      <c r="C12" s="4" t="s">
        <v>48</v>
      </c>
      <c r="D12" s="10" t="n">
        <v>11.7</v>
      </c>
      <c r="E12" s="10" t="n">
        <v>13.79</v>
      </c>
      <c r="F12" s="10" t="n">
        <v>6.5</v>
      </c>
      <c r="G12" s="20" t="n">
        <v>0.444</v>
      </c>
      <c r="H12" s="20" t="n">
        <v>0.294</v>
      </c>
    </row>
    <row r="13" customFormat="false" ht="15" hidden="false" customHeight="false" outlineLevel="0" collapsed="false">
      <c r="A13" s="4" t="s">
        <v>21</v>
      </c>
      <c r="B13" s="4" t="s">
        <v>22</v>
      </c>
      <c r="C13" s="4" t="s">
        <v>49</v>
      </c>
      <c r="D13" s="10" t="n">
        <v>11.7</v>
      </c>
      <c r="E13" s="10" t="n">
        <v>13.79</v>
      </c>
      <c r="F13" s="10" t="n">
        <v>6.5</v>
      </c>
      <c r="G13" s="20" t="n">
        <v>0.444</v>
      </c>
      <c r="H13" s="20" t="n">
        <v>0.294</v>
      </c>
    </row>
    <row r="14" customFormat="false" ht="15" hidden="false" customHeight="false" outlineLevel="0" collapsed="false">
      <c r="A14" s="4" t="s">
        <v>21</v>
      </c>
      <c r="B14" s="4" t="s">
        <v>22</v>
      </c>
      <c r="C14" s="4" t="s">
        <v>50</v>
      </c>
      <c r="D14" s="10" t="n">
        <v>12.5</v>
      </c>
      <c r="E14" s="10" t="n">
        <v>14.75</v>
      </c>
      <c r="F14" s="10" t="n">
        <v>6.5</v>
      </c>
      <c r="G14" s="20" t="n">
        <v>0.48</v>
      </c>
      <c r="H14" s="21" t="n">
        <v>0.33</v>
      </c>
    </row>
    <row r="15" customFormat="false" ht="15" hidden="false" customHeight="false" outlineLevel="0" collapsed="false">
      <c r="A15" s="4" t="s">
        <v>21</v>
      </c>
      <c r="B15" s="4" t="s">
        <v>22</v>
      </c>
      <c r="C15" s="4" t="s">
        <v>51</v>
      </c>
      <c r="D15" s="10" t="n">
        <v>14</v>
      </c>
      <c r="E15" s="10" t="n">
        <v>16.52</v>
      </c>
      <c r="F15" s="10" t="n">
        <v>7.9</v>
      </c>
      <c r="G15" s="20" t="n">
        <v>0.436</v>
      </c>
      <c r="H15" s="20" t="n">
        <v>0.286</v>
      </c>
    </row>
    <row r="16" customFormat="false" ht="15" hidden="false" customHeight="false" outlineLevel="0" collapsed="false">
      <c r="A16" s="4" t="s">
        <v>23</v>
      </c>
      <c r="B16" s="4" t="s">
        <v>19</v>
      </c>
      <c r="C16" s="4" t="s">
        <v>48</v>
      </c>
      <c r="D16" s="10" t="n">
        <v>11</v>
      </c>
      <c r="E16" s="10" t="n">
        <v>12.98</v>
      </c>
      <c r="F16" s="10" t="n">
        <v>6.5</v>
      </c>
      <c r="G16" s="20" t="n">
        <v>0.409</v>
      </c>
      <c r="H16" s="20" t="n">
        <v>0.159</v>
      </c>
    </row>
    <row r="17" customFormat="false" ht="15" hidden="false" customHeight="false" outlineLevel="0" collapsed="false">
      <c r="A17" s="4" t="s">
        <v>23</v>
      </c>
      <c r="B17" s="4" t="s">
        <v>19</v>
      </c>
      <c r="C17" s="4" t="s">
        <v>49</v>
      </c>
      <c r="D17" s="10" t="n">
        <v>11</v>
      </c>
      <c r="E17" s="10" t="n">
        <v>12.98</v>
      </c>
      <c r="F17" s="10" t="n">
        <v>6.5</v>
      </c>
      <c r="G17" s="20" t="n">
        <v>0.409</v>
      </c>
      <c r="H17" s="20" t="n">
        <v>0.159</v>
      </c>
    </row>
    <row r="18" customFormat="false" ht="15" hidden="false" customHeight="false" outlineLevel="0" collapsed="false">
      <c r="A18" s="4" t="s">
        <v>23</v>
      </c>
      <c r="B18" s="4" t="s">
        <v>19</v>
      </c>
      <c r="C18" s="4" t="s">
        <v>50</v>
      </c>
      <c r="D18" s="10" t="n">
        <v>12.5</v>
      </c>
      <c r="E18" s="10" t="n">
        <v>14.75</v>
      </c>
      <c r="F18" s="10" t="n">
        <v>6.5</v>
      </c>
      <c r="G18" s="20" t="n">
        <v>0.48</v>
      </c>
      <c r="H18" s="20" t="n">
        <v>0.23</v>
      </c>
    </row>
    <row r="19" customFormat="false" ht="15" hidden="false" customHeight="false" outlineLevel="0" collapsed="false">
      <c r="A19" s="4" t="s">
        <v>24</v>
      </c>
      <c r="B19" s="4" t="s">
        <v>22</v>
      </c>
      <c r="C19" s="4" t="s">
        <v>52</v>
      </c>
      <c r="D19" s="10" t="n">
        <v>38</v>
      </c>
      <c r="E19" s="10" t="n">
        <v>44.84</v>
      </c>
      <c r="F19" s="10" t="n">
        <v>24</v>
      </c>
      <c r="G19" s="22" t="n">
        <v>0.368</v>
      </c>
      <c r="H19" s="20" t="n">
        <v>0.218</v>
      </c>
    </row>
    <row r="20" customFormat="false" ht="15" hidden="false" customHeight="false" outlineLevel="0" collapsed="false">
      <c r="A20" s="4" t="s">
        <v>24</v>
      </c>
      <c r="B20" s="4" t="s">
        <v>22</v>
      </c>
      <c r="C20" s="4" t="s">
        <v>53</v>
      </c>
      <c r="D20" s="10" t="n">
        <v>38</v>
      </c>
      <c r="E20" s="10" t="n">
        <v>44.84</v>
      </c>
      <c r="F20" s="10" t="n">
        <v>24</v>
      </c>
      <c r="G20" s="22" t="n">
        <v>0.368</v>
      </c>
      <c r="H20" s="20" t="n">
        <v>0.218</v>
      </c>
    </row>
    <row r="21" customFormat="false" ht="15" hidden="false" customHeight="false" outlineLevel="0" collapsed="false">
      <c r="A21" s="4" t="s">
        <v>24</v>
      </c>
      <c r="B21" s="4" t="s">
        <v>22</v>
      </c>
      <c r="C21" s="4" t="s">
        <v>54</v>
      </c>
      <c r="D21" s="10" t="n">
        <v>46</v>
      </c>
      <c r="E21" s="10" t="n">
        <v>54.28</v>
      </c>
      <c r="F21" s="10" t="n">
        <v>29</v>
      </c>
      <c r="G21" s="22" t="n">
        <v>0.37</v>
      </c>
      <c r="H21" s="20" t="n">
        <v>0.22</v>
      </c>
    </row>
    <row r="22" customFormat="false" ht="15" hidden="false" customHeight="false" outlineLevel="0" collapsed="false">
      <c r="A22" s="4" t="s">
        <v>25</v>
      </c>
      <c r="B22" s="4" t="s">
        <v>19</v>
      </c>
      <c r="C22" s="4" t="s">
        <v>48</v>
      </c>
      <c r="D22" s="10" t="n">
        <v>11.7</v>
      </c>
      <c r="E22" s="10" t="n">
        <v>13.79</v>
      </c>
      <c r="F22" s="10" t="n">
        <v>6.5</v>
      </c>
      <c r="G22" s="20" t="n">
        <v>0.444</v>
      </c>
      <c r="H22" s="20" t="n">
        <v>0.194</v>
      </c>
    </row>
    <row r="23" customFormat="false" ht="15" hidden="false" customHeight="false" outlineLevel="0" collapsed="false">
      <c r="A23" s="4" t="s">
        <v>25</v>
      </c>
      <c r="B23" s="4" t="s">
        <v>19</v>
      </c>
      <c r="C23" s="4" t="s">
        <v>49</v>
      </c>
      <c r="D23" s="10" t="n">
        <v>11.7</v>
      </c>
      <c r="E23" s="10" t="n">
        <v>13.79</v>
      </c>
      <c r="F23" s="10" t="n">
        <v>6.5</v>
      </c>
      <c r="G23" s="20" t="n">
        <v>0.444</v>
      </c>
      <c r="H23" s="20" t="n">
        <v>0.194</v>
      </c>
    </row>
    <row r="24" customFormat="false" ht="15" hidden="false" customHeight="false" outlineLevel="0" collapsed="false">
      <c r="A24" s="4" t="s">
        <v>25</v>
      </c>
      <c r="B24" s="4" t="s">
        <v>19</v>
      </c>
      <c r="C24" s="4" t="s">
        <v>50</v>
      </c>
      <c r="D24" s="10" t="n">
        <v>13.5</v>
      </c>
      <c r="E24" s="10" t="n">
        <v>15.93</v>
      </c>
      <c r="F24" s="10" t="n">
        <v>6.5</v>
      </c>
      <c r="G24" s="21" t="n">
        <v>0.519</v>
      </c>
      <c r="H24" s="20" t="n">
        <v>0.269</v>
      </c>
    </row>
    <row r="25" customFormat="false" ht="15" hidden="false" customHeight="false" outlineLevel="0" collapsed="false">
      <c r="A25" s="4" t="s">
        <v>25</v>
      </c>
      <c r="B25" s="4" t="s">
        <v>19</v>
      </c>
      <c r="C25" s="4" t="s">
        <v>51</v>
      </c>
      <c r="D25" s="10" t="n">
        <v>14</v>
      </c>
      <c r="E25" s="10" t="n">
        <v>16.52</v>
      </c>
      <c r="F25" s="10" t="n">
        <v>7.9</v>
      </c>
      <c r="G25" s="20" t="n">
        <v>0.436</v>
      </c>
      <c r="H25" s="20" t="n">
        <v>0.186</v>
      </c>
    </row>
    <row r="26" customFormat="false" ht="15" hidden="false" customHeight="false" outlineLevel="0" collapsed="false">
      <c r="A26" s="4" t="s">
        <v>26</v>
      </c>
      <c r="B26" s="4" t="s">
        <v>22</v>
      </c>
      <c r="C26" s="4" t="s">
        <v>52</v>
      </c>
      <c r="D26" s="10" t="n">
        <v>26</v>
      </c>
      <c r="E26" s="10" t="n">
        <v>30.68</v>
      </c>
      <c r="F26" s="10" t="n">
        <v>17.5</v>
      </c>
      <c r="G26" s="22" t="n">
        <v>0.327</v>
      </c>
      <c r="H26" s="20" t="n">
        <v>0.177</v>
      </c>
    </row>
    <row r="27" customFormat="false" ht="15" hidden="false" customHeight="false" outlineLevel="0" collapsed="false">
      <c r="A27" s="4" t="s">
        <v>26</v>
      </c>
      <c r="B27" s="4" t="s">
        <v>22</v>
      </c>
      <c r="C27" s="4" t="s">
        <v>53</v>
      </c>
      <c r="D27" s="10" t="n">
        <v>26</v>
      </c>
      <c r="E27" s="10" t="n">
        <v>30.68</v>
      </c>
      <c r="F27" s="10" t="n">
        <v>17.5</v>
      </c>
      <c r="G27" s="22" t="n">
        <v>0.327</v>
      </c>
      <c r="H27" s="20" t="n">
        <v>0.177</v>
      </c>
    </row>
    <row r="28" customFormat="false" ht="15" hidden="false" customHeight="false" outlineLevel="0" collapsed="false">
      <c r="A28" s="4" t="s">
        <v>26</v>
      </c>
      <c r="B28" s="4" t="s">
        <v>22</v>
      </c>
      <c r="C28" s="4" t="s">
        <v>54</v>
      </c>
      <c r="D28" s="10" t="n">
        <v>36</v>
      </c>
      <c r="E28" s="10" t="n">
        <v>42.48</v>
      </c>
      <c r="F28" s="10" t="n">
        <v>22</v>
      </c>
      <c r="G28" s="22" t="n">
        <v>0.389</v>
      </c>
      <c r="H28" s="20" t="n">
        <v>0.239</v>
      </c>
    </row>
    <row r="29" customFormat="false" ht="15" hidden="false" customHeight="false" outlineLevel="0" collapsed="false">
      <c r="A29" s="4" t="s">
        <v>27</v>
      </c>
      <c r="B29" s="4" t="s">
        <v>22</v>
      </c>
      <c r="C29" s="4" t="s">
        <v>48</v>
      </c>
      <c r="D29" s="10" t="n">
        <v>19</v>
      </c>
      <c r="E29" s="10" t="n">
        <v>22.42</v>
      </c>
      <c r="F29" s="10" t="n">
        <v>11.5</v>
      </c>
      <c r="G29" s="22" t="n">
        <v>0.395</v>
      </c>
      <c r="H29" s="20" t="n">
        <v>0.245</v>
      </c>
    </row>
    <row r="30" customFormat="false" ht="15" hidden="false" customHeight="false" outlineLevel="0" collapsed="false">
      <c r="A30" s="4" t="s">
        <v>27</v>
      </c>
      <c r="B30" s="4" t="s">
        <v>22</v>
      </c>
      <c r="C30" s="4" t="s">
        <v>49</v>
      </c>
      <c r="D30" s="10" t="n">
        <v>19</v>
      </c>
      <c r="E30" s="10" t="n">
        <v>22.42</v>
      </c>
      <c r="F30" s="10" t="n">
        <v>11.5</v>
      </c>
      <c r="G30" s="22" t="n">
        <v>0.395</v>
      </c>
      <c r="H30" s="20" t="n">
        <v>0.245</v>
      </c>
    </row>
    <row r="31" customFormat="false" ht="15" hidden="false" customHeight="false" outlineLevel="0" collapsed="false">
      <c r="A31" s="4" t="s">
        <v>27</v>
      </c>
      <c r="B31" s="4" t="s">
        <v>22</v>
      </c>
      <c r="C31" s="4" t="s">
        <v>50</v>
      </c>
      <c r="D31" s="10" t="n">
        <v>22</v>
      </c>
      <c r="E31" s="10" t="n">
        <v>25.96</v>
      </c>
      <c r="F31" s="10" t="n">
        <v>13</v>
      </c>
      <c r="G31" s="20" t="n">
        <v>0.409</v>
      </c>
      <c r="H31" s="20" t="n">
        <v>0.259</v>
      </c>
    </row>
    <row r="32" customFormat="false" ht="15" hidden="false" customHeight="false" outlineLevel="0" collapsed="false">
      <c r="A32" s="4" t="s">
        <v>27</v>
      </c>
      <c r="B32" s="4" t="s">
        <v>22</v>
      </c>
      <c r="C32" s="4" t="s">
        <v>51</v>
      </c>
      <c r="D32" s="10" t="n">
        <v>29</v>
      </c>
      <c r="E32" s="10" t="n">
        <v>34.22</v>
      </c>
      <c r="F32" s="10" t="n">
        <v>16</v>
      </c>
      <c r="G32" s="20" t="n">
        <v>0.448</v>
      </c>
      <c r="H32" s="20" t="n">
        <v>0.298</v>
      </c>
    </row>
    <row r="33" customFormat="false" ht="15" hidden="false" customHeight="false" outlineLevel="0" collapsed="false">
      <c r="A33" s="4" t="s">
        <v>28</v>
      </c>
      <c r="B33" s="4" t="s">
        <v>22</v>
      </c>
      <c r="C33" s="4" t="s">
        <v>48</v>
      </c>
      <c r="D33" s="10" t="n">
        <v>11.7</v>
      </c>
      <c r="E33" s="10" t="n">
        <v>13.79</v>
      </c>
      <c r="F33" s="10" t="n">
        <v>6.5</v>
      </c>
      <c r="G33" s="20" t="n">
        <v>0.444</v>
      </c>
      <c r="H33" s="20" t="n">
        <v>0.294</v>
      </c>
    </row>
    <row r="34" customFormat="false" ht="15" hidden="false" customHeight="false" outlineLevel="0" collapsed="false">
      <c r="A34" s="4" t="s">
        <v>28</v>
      </c>
      <c r="B34" s="4" t="s">
        <v>22</v>
      </c>
      <c r="C34" s="4" t="s">
        <v>49</v>
      </c>
      <c r="D34" s="10" t="n">
        <v>11.7</v>
      </c>
      <c r="E34" s="10" t="n">
        <v>13.79</v>
      </c>
      <c r="F34" s="10" t="n">
        <v>6.5</v>
      </c>
      <c r="G34" s="20" t="n">
        <v>0.444</v>
      </c>
      <c r="H34" s="20" t="n">
        <v>0.294</v>
      </c>
    </row>
    <row r="35" customFormat="false" ht="15" hidden="false" customHeight="false" outlineLevel="0" collapsed="false">
      <c r="A35" s="4" t="s">
        <v>28</v>
      </c>
      <c r="B35" s="4" t="s">
        <v>22</v>
      </c>
      <c r="C35" s="4" t="s">
        <v>50</v>
      </c>
      <c r="D35" s="10" t="n">
        <v>14</v>
      </c>
      <c r="E35" s="10" t="n">
        <v>16.52</v>
      </c>
      <c r="F35" s="10" t="n">
        <v>6.5</v>
      </c>
      <c r="G35" s="21" t="n">
        <v>0.536</v>
      </c>
      <c r="H35" s="21" t="n">
        <v>0.386</v>
      </c>
    </row>
    <row r="36" customFormat="false" ht="15" hidden="false" customHeight="false" outlineLevel="0" collapsed="false">
      <c r="A36" s="4" t="s">
        <v>28</v>
      </c>
      <c r="B36" s="4" t="s">
        <v>22</v>
      </c>
      <c r="C36" s="4" t="s">
        <v>51</v>
      </c>
      <c r="D36" s="10" t="n">
        <v>15.5</v>
      </c>
      <c r="E36" s="10" t="n">
        <v>18.29</v>
      </c>
      <c r="F36" s="10" t="n">
        <v>7.9</v>
      </c>
      <c r="G36" s="20" t="n">
        <v>0.49</v>
      </c>
      <c r="H36" s="21" t="n">
        <v>0.34</v>
      </c>
    </row>
    <row r="37" customFormat="false" ht="15" hidden="false" customHeight="false" outlineLevel="0" collapsed="false">
      <c r="A37" s="4" t="s">
        <v>28</v>
      </c>
      <c r="B37" s="4" t="s">
        <v>22</v>
      </c>
      <c r="C37" s="4" t="s">
        <v>55</v>
      </c>
      <c r="D37" s="10" t="n">
        <v>13.5</v>
      </c>
      <c r="E37" s="10" t="n">
        <v>15.93</v>
      </c>
      <c r="F37" s="10" t="n">
        <v>53.5</v>
      </c>
      <c r="G37" s="22" t="n">
        <v>-2.963</v>
      </c>
      <c r="H37" s="22" t="n">
        <v>-3.113</v>
      </c>
    </row>
    <row r="38" customFormat="false" ht="15" hidden="false" customHeight="false" outlineLevel="0" collapsed="false">
      <c r="A38" s="4" t="s">
        <v>29</v>
      </c>
      <c r="B38" s="4" t="s">
        <v>19</v>
      </c>
      <c r="C38" s="4" t="s">
        <v>48</v>
      </c>
      <c r="D38" s="10" t="n">
        <v>12.5</v>
      </c>
      <c r="E38" s="10" t="n">
        <v>14.75</v>
      </c>
      <c r="F38" s="10" t="n">
        <v>6.5</v>
      </c>
      <c r="G38" s="20" t="n">
        <v>0.48</v>
      </c>
      <c r="H38" s="20" t="n">
        <v>0.23</v>
      </c>
    </row>
    <row r="39" customFormat="false" ht="15" hidden="false" customHeight="false" outlineLevel="0" collapsed="false">
      <c r="A39" s="4" t="s">
        <v>29</v>
      </c>
      <c r="B39" s="4" t="s">
        <v>19</v>
      </c>
      <c r="C39" s="4" t="s">
        <v>49</v>
      </c>
      <c r="D39" s="10" t="n">
        <v>12.5</v>
      </c>
      <c r="E39" s="10" t="n">
        <v>14.75</v>
      </c>
      <c r="F39" s="10" t="n">
        <v>6.5</v>
      </c>
      <c r="G39" s="20" t="n">
        <v>0.48</v>
      </c>
      <c r="H39" s="20" t="n">
        <v>0.23</v>
      </c>
    </row>
    <row r="40" customFormat="false" ht="15" hidden="false" customHeight="false" outlineLevel="0" collapsed="false">
      <c r="A40" s="4" t="s">
        <v>29</v>
      </c>
      <c r="B40" s="4" t="s">
        <v>19</v>
      </c>
      <c r="C40" s="4" t="s">
        <v>50</v>
      </c>
      <c r="D40" s="10" t="n">
        <v>15</v>
      </c>
      <c r="E40" s="10" t="n">
        <v>17.7</v>
      </c>
      <c r="F40" s="10" t="n">
        <v>6.5</v>
      </c>
      <c r="G40" s="21" t="n">
        <v>0.567</v>
      </c>
      <c r="H40" s="21" t="n">
        <v>0.317</v>
      </c>
    </row>
    <row r="41" customFormat="false" ht="15" hidden="false" customHeight="false" outlineLevel="0" collapsed="false">
      <c r="A41" s="4" t="s">
        <v>29</v>
      </c>
      <c r="B41" s="4" t="s">
        <v>19</v>
      </c>
      <c r="C41" s="4" t="s">
        <v>51</v>
      </c>
      <c r="D41" s="10" t="n">
        <v>16.5</v>
      </c>
      <c r="E41" s="10" t="n">
        <v>19.47</v>
      </c>
      <c r="F41" s="10" t="n">
        <v>7.9</v>
      </c>
      <c r="G41" s="21" t="n">
        <v>0.521</v>
      </c>
      <c r="H41" s="20" t="n">
        <v>0.271</v>
      </c>
    </row>
    <row r="42" customFormat="false" ht="15" hidden="false" customHeight="false" outlineLevel="0" collapsed="false">
      <c r="A42" s="4" t="s">
        <v>30</v>
      </c>
      <c r="B42" s="4" t="s">
        <v>22</v>
      </c>
      <c r="C42" s="4" t="s">
        <v>48</v>
      </c>
      <c r="D42" s="10" t="n">
        <v>11.7</v>
      </c>
      <c r="E42" s="10" t="n">
        <v>13.79</v>
      </c>
      <c r="F42" s="10" t="n">
        <v>6.5</v>
      </c>
      <c r="G42" s="20" t="n">
        <v>0.444</v>
      </c>
      <c r="H42" s="20" t="n">
        <v>0.294</v>
      </c>
    </row>
    <row r="43" customFormat="false" ht="15" hidden="false" customHeight="false" outlineLevel="0" collapsed="false">
      <c r="A43" s="4" t="s">
        <v>30</v>
      </c>
      <c r="B43" s="4" t="s">
        <v>22</v>
      </c>
      <c r="C43" s="4" t="s">
        <v>49</v>
      </c>
      <c r="D43" s="10" t="n">
        <v>11.7</v>
      </c>
      <c r="E43" s="10" t="n">
        <v>13.79</v>
      </c>
      <c r="F43" s="10" t="n">
        <v>6.5</v>
      </c>
      <c r="G43" s="20" t="n">
        <v>0.444</v>
      </c>
      <c r="H43" s="20" t="n">
        <v>0.294</v>
      </c>
    </row>
    <row r="44" customFormat="false" ht="15" hidden="false" customHeight="false" outlineLevel="0" collapsed="false">
      <c r="A44" s="4" t="s">
        <v>30</v>
      </c>
      <c r="B44" s="4" t="s">
        <v>22</v>
      </c>
      <c r="C44" s="4" t="s">
        <v>50</v>
      </c>
      <c r="D44" s="10" t="n">
        <v>13</v>
      </c>
      <c r="E44" s="10" t="n">
        <v>15.34</v>
      </c>
      <c r="F44" s="10" t="n">
        <v>6.5</v>
      </c>
      <c r="G44" s="21" t="n">
        <v>0.5</v>
      </c>
      <c r="H44" s="21" t="n">
        <v>0.35</v>
      </c>
    </row>
    <row r="45" customFormat="false" ht="15" hidden="false" customHeight="false" outlineLevel="0" collapsed="false">
      <c r="A45" s="4" t="s">
        <v>30</v>
      </c>
      <c r="B45" s="4" t="s">
        <v>22</v>
      </c>
      <c r="C45" s="4" t="s">
        <v>51</v>
      </c>
      <c r="D45" s="10" t="n">
        <v>14</v>
      </c>
      <c r="E45" s="10" t="n">
        <v>16.52</v>
      </c>
      <c r="F45" s="10" t="n">
        <v>7.9</v>
      </c>
      <c r="G45" s="20" t="n">
        <v>0.436</v>
      </c>
      <c r="H45" s="20" t="n">
        <v>0.286</v>
      </c>
    </row>
    <row r="46" customFormat="false" ht="15" hidden="false" customHeight="false" outlineLevel="0" collapsed="false">
      <c r="A46" s="4" t="s">
        <v>32</v>
      </c>
      <c r="B46" s="4" t="s">
        <v>19</v>
      </c>
      <c r="C46" s="4" t="s">
        <v>48</v>
      </c>
      <c r="D46" s="10" t="n">
        <v>10.5</v>
      </c>
      <c r="E46" s="10" t="n">
        <v>12.39</v>
      </c>
      <c r="F46" s="10" t="n">
        <v>6.5</v>
      </c>
      <c r="G46" s="22" t="n">
        <v>0.381</v>
      </c>
      <c r="H46" s="20" t="n">
        <v>0.131</v>
      </c>
    </row>
    <row r="47" customFormat="false" ht="15" hidden="false" customHeight="false" outlineLevel="0" collapsed="false">
      <c r="A47" s="4" t="s">
        <v>32</v>
      </c>
      <c r="B47" s="4" t="s">
        <v>19</v>
      </c>
      <c r="C47" s="4" t="s">
        <v>49</v>
      </c>
      <c r="D47" s="10" t="n">
        <v>10.5</v>
      </c>
      <c r="E47" s="10" t="n">
        <v>12.39</v>
      </c>
      <c r="F47" s="10" t="n">
        <v>6.5</v>
      </c>
      <c r="G47" s="22" t="n">
        <v>0.381</v>
      </c>
      <c r="H47" s="20" t="n">
        <v>0.131</v>
      </c>
    </row>
    <row r="48" customFormat="false" ht="15" hidden="false" customHeight="false" outlineLevel="0" collapsed="false">
      <c r="A48" s="4" t="s">
        <v>32</v>
      </c>
      <c r="B48" s="4" t="s">
        <v>19</v>
      </c>
      <c r="C48" s="4" t="s">
        <v>50</v>
      </c>
      <c r="D48" s="10" t="n">
        <v>12</v>
      </c>
      <c r="E48" s="10" t="n">
        <v>14.16</v>
      </c>
      <c r="F48" s="10" t="n">
        <v>6.5</v>
      </c>
      <c r="G48" s="20" t="n">
        <v>0.458</v>
      </c>
      <c r="H48" s="20" t="n">
        <v>0.208</v>
      </c>
    </row>
    <row r="49" customFormat="false" ht="15" hidden="false" customHeight="false" outlineLevel="0" collapsed="false">
      <c r="A49" s="4" t="s">
        <v>33</v>
      </c>
      <c r="B49" s="4" t="s">
        <v>19</v>
      </c>
      <c r="C49" s="4" t="s">
        <v>48</v>
      </c>
      <c r="D49" s="10" t="n">
        <v>10.5</v>
      </c>
      <c r="E49" s="10" t="n">
        <v>12.39</v>
      </c>
      <c r="F49" s="10" t="n">
        <v>6.5</v>
      </c>
      <c r="G49" s="22" t="n">
        <v>0.381</v>
      </c>
      <c r="H49" s="20" t="n">
        <v>0.131</v>
      </c>
    </row>
    <row r="50" customFormat="false" ht="15" hidden="false" customHeight="false" outlineLevel="0" collapsed="false">
      <c r="A50" s="4" t="s">
        <v>33</v>
      </c>
      <c r="B50" s="4" t="s">
        <v>19</v>
      </c>
      <c r="C50" s="4" t="s">
        <v>49</v>
      </c>
      <c r="D50" s="10" t="n">
        <v>10.5</v>
      </c>
      <c r="E50" s="10" t="n">
        <v>12.39</v>
      </c>
      <c r="F50" s="10" t="n">
        <v>6.5</v>
      </c>
      <c r="G50" s="22" t="n">
        <v>0.381</v>
      </c>
      <c r="H50" s="20" t="n">
        <v>0.131</v>
      </c>
    </row>
    <row r="51" customFormat="false" ht="15" hidden="false" customHeight="false" outlineLevel="0" collapsed="false">
      <c r="A51" s="4" t="s">
        <v>33</v>
      </c>
      <c r="B51" s="4" t="s">
        <v>19</v>
      </c>
      <c r="C51" s="4" t="s">
        <v>50</v>
      </c>
      <c r="D51" s="10" t="n">
        <v>12</v>
      </c>
      <c r="E51" s="10" t="n">
        <v>14.16</v>
      </c>
      <c r="F51" s="10" t="n">
        <v>6.5</v>
      </c>
      <c r="G51" s="20" t="n">
        <v>0.458</v>
      </c>
      <c r="H51" s="20" t="n">
        <v>0.208</v>
      </c>
    </row>
    <row r="52" customFormat="false" ht="15" hidden="false" customHeight="false" outlineLevel="0" collapsed="false">
      <c r="A52" s="4" t="s">
        <v>34</v>
      </c>
      <c r="B52" s="4" t="s">
        <v>19</v>
      </c>
      <c r="C52" s="4" t="s">
        <v>48</v>
      </c>
      <c r="D52" s="10" t="n">
        <v>12</v>
      </c>
      <c r="E52" s="10" t="n">
        <v>14.16</v>
      </c>
      <c r="F52" s="10" t="n">
        <v>6.5</v>
      </c>
      <c r="G52" s="20" t="n">
        <v>0.458</v>
      </c>
      <c r="H52" s="20" t="n">
        <v>0.208</v>
      </c>
    </row>
    <row r="53" customFormat="false" ht="15" hidden="false" customHeight="false" outlineLevel="0" collapsed="false">
      <c r="A53" s="4" t="s">
        <v>34</v>
      </c>
      <c r="B53" s="4" t="s">
        <v>19</v>
      </c>
      <c r="C53" s="4" t="s">
        <v>49</v>
      </c>
      <c r="D53" s="10" t="n">
        <v>12</v>
      </c>
      <c r="E53" s="10" t="n">
        <v>14.16</v>
      </c>
      <c r="F53" s="10" t="n">
        <v>6.5</v>
      </c>
      <c r="G53" s="20" t="n">
        <v>0.458</v>
      </c>
      <c r="H53" s="20" t="n">
        <v>0.208</v>
      </c>
    </row>
    <row r="54" customFormat="false" ht="15" hidden="false" customHeight="false" outlineLevel="0" collapsed="false">
      <c r="A54" s="4" t="s">
        <v>34</v>
      </c>
      <c r="B54" s="4" t="s">
        <v>19</v>
      </c>
      <c r="C54" s="4" t="s">
        <v>50</v>
      </c>
      <c r="D54" s="10" t="n">
        <v>18</v>
      </c>
      <c r="E54" s="10" t="n">
        <v>21.24</v>
      </c>
      <c r="F54" s="10" t="n">
        <v>6.5</v>
      </c>
      <c r="G54" s="21" t="n">
        <v>0.639</v>
      </c>
      <c r="H54" s="21" t="n">
        <v>0.389</v>
      </c>
    </row>
    <row r="55" customFormat="false" ht="15" hidden="false" customHeight="false" outlineLevel="0" collapsed="false">
      <c r="A55" s="4" t="s">
        <v>35</v>
      </c>
      <c r="B55" s="4" t="s">
        <v>22</v>
      </c>
      <c r="C55" s="4" t="s">
        <v>48</v>
      </c>
      <c r="D55" s="10" t="n">
        <v>10.5</v>
      </c>
      <c r="E55" s="10" t="n">
        <v>12.39</v>
      </c>
      <c r="F55" s="10" t="n">
        <v>6.5</v>
      </c>
      <c r="G55" s="22" t="n">
        <v>0.381</v>
      </c>
      <c r="H55" s="20" t="n">
        <v>0.231</v>
      </c>
    </row>
    <row r="56" customFormat="false" ht="15" hidden="false" customHeight="false" outlineLevel="0" collapsed="false">
      <c r="A56" s="4" t="s">
        <v>35</v>
      </c>
      <c r="B56" s="4" t="s">
        <v>22</v>
      </c>
      <c r="C56" s="4" t="s">
        <v>49</v>
      </c>
      <c r="D56" s="10" t="n">
        <v>10.5</v>
      </c>
      <c r="E56" s="10" t="n">
        <v>12.39</v>
      </c>
      <c r="F56" s="10" t="n">
        <v>6.5</v>
      </c>
      <c r="G56" s="22" t="n">
        <v>0.381</v>
      </c>
      <c r="H56" s="20" t="n">
        <v>0.231</v>
      </c>
    </row>
    <row r="57" customFormat="false" ht="15" hidden="false" customHeight="false" outlineLevel="0" collapsed="false">
      <c r="A57" s="4" t="s">
        <v>35</v>
      </c>
      <c r="B57" s="4" t="s">
        <v>22</v>
      </c>
      <c r="C57" s="4" t="s">
        <v>50</v>
      </c>
      <c r="D57" s="10" t="n">
        <v>13</v>
      </c>
      <c r="E57" s="10" t="n">
        <v>15.34</v>
      </c>
      <c r="F57" s="10" t="n">
        <v>6.5</v>
      </c>
      <c r="G57" s="21" t="n">
        <v>0.5</v>
      </c>
      <c r="H57" s="21" t="n">
        <v>0.35</v>
      </c>
    </row>
    <row r="58" customFormat="false" ht="15" hidden="false" customHeight="false" outlineLevel="0" collapsed="false">
      <c r="A58" s="4" t="s">
        <v>36</v>
      </c>
      <c r="B58" s="4" t="s">
        <v>22</v>
      </c>
      <c r="C58" s="4" t="s">
        <v>52</v>
      </c>
      <c r="D58" s="10" t="n">
        <v>32</v>
      </c>
      <c r="E58" s="10" t="n">
        <v>37.76</v>
      </c>
      <c r="F58" s="10" t="n">
        <v>20.5</v>
      </c>
      <c r="G58" s="22" t="n">
        <v>0.359</v>
      </c>
      <c r="H58" s="20" t="n">
        <v>0.209</v>
      </c>
    </row>
    <row r="59" customFormat="false" ht="15" hidden="false" customHeight="false" outlineLevel="0" collapsed="false">
      <c r="A59" s="4" t="s">
        <v>36</v>
      </c>
      <c r="B59" s="4" t="s">
        <v>22</v>
      </c>
      <c r="C59" s="4" t="s">
        <v>53</v>
      </c>
      <c r="D59" s="10" t="n">
        <v>32</v>
      </c>
      <c r="E59" s="10" t="n">
        <v>37.76</v>
      </c>
      <c r="F59" s="10" t="n">
        <v>20.5</v>
      </c>
      <c r="G59" s="22" t="n">
        <v>0.359</v>
      </c>
      <c r="H59" s="20" t="n">
        <v>0.209</v>
      </c>
    </row>
    <row r="60" customFormat="false" ht="15" hidden="false" customHeight="false" outlineLevel="0" collapsed="false">
      <c r="A60" s="4" t="s">
        <v>36</v>
      </c>
      <c r="B60" s="4" t="s">
        <v>22</v>
      </c>
      <c r="C60" s="4" t="s">
        <v>56</v>
      </c>
      <c r="D60" s="10" t="n">
        <v>36</v>
      </c>
      <c r="E60" s="10" t="n">
        <v>42.48</v>
      </c>
      <c r="F60" s="10" t="n">
        <v>22</v>
      </c>
      <c r="G60" s="22" t="n">
        <v>0.389</v>
      </c>
      <c r="H60" s="20" t="n">
        <v>0.239</v>
      </c>
    </row>
    <row r="61" customFormat="false" ht="15" hidden="false" customHeight="false" outlineLevel="0" collapsed="false">
      <c r="A61" s="4" t="s">
        <v>36</v>
      </c>
      <c r="B61" s="4" t="s">
        <v>22</v>
      </c>
      <c r="C61" s="4" t="s">
        <v>51</v>
      </c>
      <c r="D61" s="10" t="n">
        <v>13.9</v>
      </c>
      <c r="E61" s="10" t="n">
        <v>16.4</v>
      </c>
      <c r="F61" s="10" t="n">
        <v>6.5</v>
      </c>
      <c r="G61" s="21" t="n">
        <v>0.532</v>
      </c>
      <c r="H61" s="21" t="n">
        <v>0.382</v>
      </c>
    </row>
    <row r="62" customFormat="false" ht="15" hidden="false" customHeight="false" outlineLevel="0" collapsed="false">
      <c r="A62" s="4" t="s">
        <v>37</v>
      </c>
      <c r="B62" s="4" t="s">
        <v>22</v>
      </c>
      <c r="C62" s="4" t="s">
        <v>48</v>
      </c>
      <c r="D62" s="10" t="n">
        <v>11.7</v>
      </c>
      <c r="E62" s="10" t="n">
        <v>13.79</v>
      </c>
      <c r="F62" s="10" t="n">
        <v>6.5</v>
      </c>
      <c r="G62" s="20" t="n">
        <v>0.444</v>
      </c>
      <c r="H62" s="20" t="n">
        <v>0.294</v>
      </c>
    </row>
    <row r="63" customFormat="false" ht="15" hidden="false" customHeight="false" outlineLevel="0" collapsed="false">
      <c r="A63" s="4" t="s">
        <v>37</v>
      </c>
      <c r="B63" s="4" t="s">
        <v>22</v>
      </c>
      <c r="C63" s="4" t="s">
        <v>49</v>
      </c>
      <c r="D63" s="10" t="n">
        <v>11.7</v>
      </c>
      <c r="E63" s="10" t="n">
        <v>13.79</v>
      </c>
      <c r="F63" s="10" t="n">
        <v>6.5</v>
      </c>
      <c r="G63" s="20" t="n">
        <v>0.444</v>
      </c>
      <c r="H63" s="20" t="n">
        <v>0.294</v>
      </c>
    </row>
    <row r="64" customFormat="false" ht="15" hidden="false" customHeight="false" outlineLevel="0" collapsed="false">
      <c r="A64" s="4" t="s">
        <v>37</v>
      </c>
      <c r="B64" s="4" t="s">
        <v>22</v>
      </c>
      <c r="C64" s="4" t="s">
        <v>50</v>
      </c>
      <c r="D64" s="10" t="n">
        <v>15</v>
      </c>
      <c r="E64" s="10" t="n">
        <v>17.7</v>
      </c>
      <c r="F64" s="10" t="n">
        <v>6.5</v>
      </c>
      <c r="G64" s="21" t="n">
        <v>0.567</v>
      </c>
      <c r="H64" s="21" t="n">
        <v>0.417</v>
      </c>
    </row>
    <row r="65" customFormat="false" ht="15" hidden="false" customHeight="false" outlineLevel="0" collapsed="false">
      <c r="A65" s="4" t="s">
        <v>37</v>
      </c>
      <c r="B65" s="4" t="s">
        <v>22</v>
      </c>
      <c r="C65" s="4" t="s">
        <v>51</v>
      </c>
      <c r="D65" s="10" t="n">
        <v>14</v>
      </c>
      <c r="E65" s="10" t="n">
        <v>16.52</v>
      </c>
      <c r="F65" s="10" t="n">
        <v>7.9</v>
      </c>
      <c r="G65" s="20" t="n">
        <v>0.436</v>
      </c>
      <c r="H65" s="20" t="n">
        <v>0.286</v>
      </c>
    </row>
    <row r="66" customFormat="false" ht="15" hidden="false" customHeight="false" outlineLevel="0" collapsed="false">
      <c r="A66" s="4" t="s">
        <v>38</v>
      </c>
      <c r="B66" s="4" t="s">
        <v>22</v>
      </c>
      <c r="C66" s="4" t="s">
        <v>48</v>
      </c>
      <c r="D66" s="10" t="n">
        <v>13.5</v>
      </c>
      <c r="E66" s="10" t="n">
        <v>15.93</v>
      </c>
      <c r="F66" s="10" t="n">
        <v>6.5</v>
      </c>
      <c r="G66" s="21" t="n">
        <v>0.519</v>
      </c>
      <c r="H66" s="21" t="n">
        <v>0.369</v>
      </c>
    </row>
    <row r="67" customFormat="false" ht="15" hidden="false" customHeight="false" outlineLevel="0" collapsed="false">
      <c r="A67" s="4" t="s">
        <v>38</v>
      </c>
      <c r="B67" s="4" t="s">
        <v>22</v>
      </c>
      <c r="C67" s="4" t="s">
        <v>49</v>
      </c>
      <c r="D67" s="10" t="n">
        <v>13.5</v>
      </c>
      <c r="E67" s="10" t="n">
        <v>15.93</v>
      </c>
      <c r="F67" s="10" t="n">
        <v>6.5</v>
      </c>
      <c r="G67" s="21" t="n">
        <v>0.519</v>
      </c>
      <c r="H67" s="21" t="n">
        <v>0.369</v>
      </c>
    </row>
    <row r="68" customFormat="false" ht="15" hidden="false" customHeight="false" outlineLevel="0" collapsed="false">
      <c r="A68" s="4" t="s">
        <v>38</v>
      </c>
      <c r="B68" s="4" t="s">
        <v>22</v>
      </c>
      <c r="C68" s="4" t="s">
        <v>50</v>
      </c>
      <c r="D68" s="10" t="n">
        <v>16</v>
      </c>
      <c r="E68" s="10" t="n">
        <v>18.88</v>
      </c>
      <c r="F68" s="10" t="n">
        <v>6.5</v>
      </c>
      <c r="G68" s="21" t="n">
        <v>0.594</v>
      </c>
      <c r="H68" s="21" t="n">
        <v>0.444</v>
      </c>
    </row>
    <row r="69" customFormat="false" ht="15" hidden="false" customHeight="false" outlineLevel="0" collapsed="false">
      <c r="A69" s="4" t="s">
        <v>38</v>
      </c>
      <c r="B69" s="4" t="s">
        <v>22</v>
      </c>
      <c r="C69" s="4" t="s">
        <v>55</v>
      </c>
      <c r="D69" s="10" t="n">
        <v>18</v>
      </c>
      <c r="E69" s="10" t="n">
        <v>21.24</v>
      </c>
      <c r="F69" s="10" t="n">
        <v>53.5</v>
      </c>
      <c r="G69" s="22" t="n">
        <v>-1.972</v>
      </c>
      <c r="H69" s="22" t="n">
        <v>-2.122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4"/>
    <col collapsed="false" customWidth="true" hidden="false" outlineLevel="0" max="12" min="3" style="0" width="12"/>
  </cols>
  <sheetData>
    <row r="1" customFormat="false" ht="27.75" hidden="false" customHeight="true" outlineLevel="0" collapsed="false">
      <c r="A1" s="18" t="s">
        <v>57</v>
      </c>
      <c r="B1" s="18"/>
      <c r="C1" s="18"/>
      <c r="D1" s="18"/>
      <c r="E1" s="18"/>
      <c r="F1" s="18"/>
      <c r="G1" s="18"/>
      <c r="H1" s="18"/>
    </row>
    <row r="2" customFormat="false" ht="27.75" hidden="false" customHeight="true" outlineLevel="0" collapsed="false">
      <c r="A2" s="23" t="s">
        <v>3</v>
      </c>
      <c r="B2" s="23" t="s">
        <v>4</v>
      </c>
      <c r="C2" s="23" t="s">
        <v>55</v>
      </c>
      <c r="D2" s="23" t="s">
        <v>49</v>
      </c>
      <c r="E2" s="23" t="s">
        <v>53</v>
      </c>
      <c r="F2" s="23" t="s">
        <v>54</v>
      </c>
      <c r="G2" s="23" t="s">
        <v>56</v>
      </c>
      <c r="H2" s="23" t="s">
        <v>52</v>
      </c>
      <c r="I2" s="23" t="s">
        <v>50</v>
      </c>
      <c r="J2" s="23" t="s">
        <v>51</v>
      </c>
      <c r="K2" s="23" t="s">
        <v>48</v>
      </c>
      <c r="L2" s="23" t="s">
        <v>58</v>
      </c>
    </row>
    <row r="3" customFormat="false" ht="15" hidden="false" customHeight="false" outlineLevel="0" collapsed="false">
      <c r="A3" s="24" t="s">
        <v>18</v>
      </c>
      <c r="B3" s="24" t="s">
        <v>19</v>
      </c>
      <c r="C3" s="25"/>
      <c r="D3" s="26" t="n">
        <v>80</v>
      </c>
      <c r="E3" s="25"/>
      <c r="F3" s="25"/>
      <c r="G3" s="25"/>
      <c r="H3" s="25"/>
      <c r="I3" s="26" t="n">
        <v>60</v>
      </c>
      <c r="J3" s="26" t="n">
        <v>80</v>
      </c>
      <c r="K3" s="26" t="n">
        <v>120</v>
      </c>
      <c r="L3" s="27" t="n">
        <f aca="false">SUM(C3:K3)</f>
        <v>340</v>
      </c>
    </row>
    <row r="4" customFormat="false" ht="15" hidden="false" customHeight="false" outlineLevel="0" collapsed="false">
      <c r="A4" s="24" t="s">
        <v>20</v>
      </c>
      <c r="B4" s="24" t="s">
        <v>19</v>
      </c>
      <c r="C4" s="25"/>
      <c r="D4" s="26" t="n">
        <v>70</v>
      </c>
      <c r="E4" s="25"/>
      <c r="F4" s="25"/>
      <c r="G4" s="25"/>
      <c r="H4" s="25"/>
      <c r="I4" s="26" t="n">
        <v>50</v>
      </c>
      <c r="J4" s="26" t="n">
        <v>43</v>
      </c>
      <c r="K4" s="26" t="n">
        <v>90</v>
      </c>
      <c r="L4" s="27" t="n">
        <f aca="false">SUM(C4:K4)</f>
        <v>253</v>
      </c>
    </row>
    <row r="5" customFormat="false" ht="15" hidden="false" customHeight="false" outlineLevel="0" collapsed="false">
      <c r="A5" s="24" t="s">
        <v>21</v>
      </c>
      <c r="B5" s="24" t="s">
        <v>22</v>
      </c>
      <c r="C5" s="25"/>
      <c r="D5" s="26" t="n">
        <v>60</v>
      </c>
      <c r="E5" s="25"/>
      <c r="F5" s="25"/>
      <c r="G5" s="25"/>
      <c r="H5" s="25"/>
      <c r="I5" s="26" t="n">
        <v>40</v>
      </c>
      <c r="J5" s="26" t="n">
        <v>41</v>
      </c>
      <c r="K5" s="26" t="n">
        <v>80</v>
      </c>
      <c r="L5" s="27" t="n">
        <f aca="false">SUM(C5:K5)</f>
        <v>221</v>
      </c>
    </row>
    <row r="6" customFormat="false" ht="15" hidden="false" customHeight="false" outlineLevel="0" collapsed="false">
      <c r="A6" s="24" t="s">
        <v>23</v>
      </c>
      <c r="B6" s="24" t="s">
        <v>19</v>
      </c>
      <c r="C6" s="25"/>
      <c r="D6" s="26" t="n">
        <v>40</v>
      </c>
      <c r="E6" s="25"/>
      <c r="F6" s="25"/>
      <c r="G6" s="25"/>
      <c r="H6" s="25"/>
      <c r="I6" s="26" t="n">
        <v>45</v>
      </c>
      <c r="J6" s="25"/>
      <c r="K6" s="26" t="n">
        <v>60</v>
      </c>
      <c r="L6" s="27" t="n">
        <f aca="false">SUM(C6:K6)</f>
        <v>145</v>
      </c>
    </row>
    <row r="7" customFormat="false" ht="15" hidden="false" customHeight="false" outlineLevel="0" collapsed="false">
      <c r="A7" s="24" t="s">
        <v>24</v>
      </c>
      <c r="B7" s="24" t="s">
        <v>22</v>
      </c>
      <c r="C7" s="25"/>
      <c r="D7" s="25"/>
      <c r="E7" s="26" t="n">
        <v>40</v>
      </c>
      <c r="F7" s="26" t="n">
        <v>35</v>
      </c>
      <c r="G7" s="25"/>
      <c r="H7" s="26" t="n">
        <v>50</v>
      </c>
      <c r="I7" s="25"/>
      <c r="J7" s="25"/>
      <c r="K7" s="25"/>
      <c r="L7" s="27" t="n">
        <f aca="false">SUM(C7:K7)</f>
        <v>125</v>
      </c>
    </row>
    <row r="8" customFormat="false" ht="15" hidden="false" customHeight="false" outlineLevel="0" collapsed="false">
      <c r="A8" s="24" t="s">
        <v>25</v>
      </c>
      <c r="B8" s="24" t="s">
        <v>19</v>
      </c>
      <c r="C8" s="25"/>
      <c r="D8" s="26" t="n">
        <v>130</v>
      </c>
      <c r="E8" s="25"/>
      <c r="F8" s="25"/>
      <c r="G8" s="25"/>
      <c r="H8" s="25"/>
      <c r="I8" s="26" t="n">
        <v>90</v>
      </c>
      <c r="J8" s="26" t="n">
        <v>87</v>
      </c>
      <c r="K8" s="26" t="n">
        <v>170</v>
      </c>
      <c r="L8" s="27" t="n">
        <f aca="false">SUM(C8:K8)</f>
        <v>477</v>
      </c>
    </row>
    <row r="9" customFormat="false" ht="15" hidden="false" customHeight="false" outlineLevel="0" collapsed="false">
      <c r="A9" s="24" t="s">
        <v>26</v>
      </c>
      <c r="B9" s="24" t="s">
        <v>22</v>
      </c>
      <c r="C9" s="25"/>
      <c r="D9" s="25"/>
      <c r="E9" s="26" t="n">
        <v>40</v>
      </c>
      <c r="F9" s="26" t="n">
        <v>39</v>
      </c>
      <c r="G9" s="25"/>
      <c r="H9" s="26" t="n">
        <v>45</v>
      </c>
      <c r="I9" s="25"/>
      <c r="J9" s="25"/>
      <c r="K9" s="25"/>
      <c r="L9" s="27" t="n">
        <f aca="false">SUM(C9:K9)</f>
        <v>124</v>
      </c>
    </row>
    <row r="10" customFormat="false" ht="15" hidden="false" customHeight="false" outlineLevel="0" collapsed="false">
      <c r="A10" s="24" t="s">
        <v>27</v>
      </c>
      <c r="B10" s="24" t="s">
        <v>22</v>
      </c>
      <c r="C10" s="25"/>
      <c r="D10" s="26" t="n">
        <v>55</v>
      </c>
      <c r="E10" s="25"/>
      <c r="F10" s="25"/>
      <c r="G10" s="25"/>
      <c r="H10" s="25"/>
      <c r="I10" s="26" t="n">
        <v>35</v>
      </c>
      <c r="J10" s="26" t="n">
        <v>38</v>
      </c>
      <c r="K10" s="26" t="n">
        <v>70</v>
      </c>
      <c r="L10" s="27" t="n">
        <f aca="false">SUM(C10:K10)</f>
        <v>198</v>
      </c>
    </row>
    <row r="11" customFormat="false" ht="15" hidden="false" customHeight="false" outlineLevel="0" collapsed="false">
      <c r="A11" s="24" t="s">
        <v>28</v>
      </c>
      <c r="B11" s="24" t="s">
        <v>22</v>
      </c>
      <c r="C11" s="25"/>
      <c r="D11" s="26" t="n">
        <v>65</v>
      </c>
      <c r="E11" s="25"/>
      <c r="F11" s="25"/>
      <c r="G11" s="25"/>
      <c r="H11" s="25"/>
      <c r="I11" s="26" t="n">
        <v>45</v>
      </c>
      <c r="J11" s="26" t="n">
        <v>48</v>
      </c>
      <c r="K11" s="26" t="n">
        <v>85</v>
      </c>
      <c r="L11" s="27" t="n">
        <f aca="false">SUM(C11:K11)</f>
        <v>243</v>
      </c>
    </row>
    <row r="12" customFormat="false" ht="15" hidden="false" customHeight="false" outlineLevel="0" collapsed="false">
      <c r="A12" s="24" t="s">
        <v>29</v>
      </c>
      <c r="B12" s="24" t="s">
        <v>19</v>
      </c>
      <c r="C12" s="25"/>
      <c r="D12" s="26" t="n">
        <v>160</v>
      </c>
      <c r="E12" s="25"/>
      <c r="F12" s="25"/>
      <c r="G12" s="25"/>
      <c r="H12" s="25"/>
      <c r="I12" s="26" t="n">
        <v>110</v>
      </c>
      <c r="J12" s="26" t="n">
        <v>106</v>
      </c>
      <c r="K12" s="26" t="n">
        <v>210</v>
      </c>
      <c r="L12" s="27" t="n">
        <f aca="false">SUM(C12:K12)</f>
        <v>586</v>
      </c>
    </row>
    <row r="13" customFormat="false" ht="15" hidden="false" customHeight="false" outlineLevel="0" collapsed="false">
      <c r="A13" s="24" t="s">
        <v>30</v>
      </c>
      <c r="B13" s="24" t="s">
        <v>22</v>
      </c>
      <c r="C13" s="25"/>
      <c r="D13" s="26" t="n">
        <v>45</v>
      </c>
      <c r="E13" s="25"/>
      <c r="F13" s="25"/>
      <c r="G13" s="25"/>
      <c r="H13" s="25"/>
      <c r="I13" s="26" t="n">
        <v>35</v>
      </c>
      <c r="J13" s="26" t="n">
        <v>29</v>
      </c>
      <c r="K13" s="26" t="n">
        <v>60</v>
      </c>
      <c r="L13" s="27" t="n">
        <f aca="false">SUM(C13:K13)</f>
        <v>169</v>
      </c>
    </row>
    <row r="14" customFormat="false" ht="15" hidden="false" customHeight="false" outlineLevel="0" collapsed="false">
      <c r="A14" s="24" t="s">
        <v>31</v>
      </c>
      <c r="B14" s="24" t="s">
        <v>22</v>
      </c>
      <c r="C14" s="26" t="n">
        <v>44</v>
      </c>
      <c r="D14" s="26" t="n">
        <v>40</v>
      </c>
      <c r="E14" s="25"/>
      <c r="F14" s="25"/>
      <c r="G14" s="25"/>
      <c r="H14" s="25"/>
      <c r="I14" s="25"/>
      <c r="J14" s="25"/>
      <c r="K14" s="26" t="n">
        <v>45</v>
      </c>
      <c r="L14" s="27" t="n">
        <f aca="false">SUM(C14:K14)</f>
        <v>129</v>
      </c>
    </row>
    <row r="15" customFormat="false" ht="15" hidden="false" customHeight="false" outlineLevel="0" collapsed="false">
      <c r="A15" s="24" t="s">
        <v>32</v>
      </c>
      <c r="B15" s="24" t="s">
        <v>19</v>
      </c>
      <c r="C15" s="25"/>
      <c r="D15" s="26" t="n">
        <v>60</v>
      </c>
      <c r="E15" s="25"/>
      <c r="F15" s="25"/>
      <c r="G15" s="25"/>
      <c r="H15" s="25"/>
      <c r="I15" s="26" t="n">
        <v>74</v>
      </c>
      <c r="J15" s="25"/>
      <c r="K15" s="26" t="n">
        <v>80</v>
      </c>
      <c r="L15" s="27" t="n">
        <f aca="false">SUM(C15:K15)</f>
        <v>214</v>
      </c>
    </row>
    <row r="16" customFormat="false" ht="15" hidden="false" customHeight="false" outlineLevel="0" collapsed="false">
      <c r="A16" s="24" t="s">
        <v>33</v>
      </c>
      <c r="B16" s="24" t="s">
        <v>19</v>
      </c>
      <c r="C16" s="25"/>
      <c r="D16" s="26" t="n">
        <v>50</v>
      </c>
      <c r="E16" s="25"/>
      <c r="F16" s="25"/>
      <c r="G16" s="25"/>
      <c r="H16" s="25"/>
      <c r="I16" s="26" t="n">
        <v>63</v>
      </c>
      <c r="J16" s="25"/>
      <c r="K16" s="26" t="n">
        <v>67</v>
      </c>
      <c r="L16" s="27" t="n">
        <f aca="false">SUM(C16:K16)</f>
        <v>180</v>
      </c>
    </row>
    <row r="17" customFormat="false" ht="15" hidden="false" customHeight="false" outlineLevel="0" collapsed="false">
      <c r="A17" s="24" t="s">
        <v>34</v>
      </c>
      <c r="B17" s="24" t="s">
        <v>19</v>
      </c>
      <c r="C17" s="25"/>
      <c r="D17" s="26" t="n">
        <v>70</v>
      </c>
      <c r="E17" s="25"/>
      <c r="F17" s="25"/>
      <c r="G17" s="25"/>
      <c r="H17" s="25"/>
      <c r="I17" s="26" t="n">
        <v>88</v>
      </c>
      <c r="J17" s="25"/>
      <c r="K17" s="26" t="n">
        <v>85</v>
      </c>
      <c r="L17" s="27" t="n">
        <f aca="false">SUM(C17:K17)</f>
        <v>243</v>
      </c>
    </row>
    <row r="18" customFormat="false" ht="15" hidden="false" customHeight="false" outlineLevel="0" collapsed="false">
      <c r="A18" s="24" t="s">
        <v>35</v>
      </c>
      <c r="B18" s="24" t="s">
        <v>22</v>
      </c>
      <c r="C18" s="25"/>
      <c r="D18" s="26" t="n">
        <v>40</v>
      </c>
      <c r="E18" s="25"/>
      <c r="F18" s="25"/>
      <c r="G18" s="25"/>
      <c r="H18" s="25"/>
      <c r="I18" s="26" t="n">
        <v>42</v>
      </c>
      <c r="J18" s="25"/>
      <c r="K18" s="26" t="n">
        <v>50</v>
      </c>
      <c r="L18" s="27" t="n">
        <f aca="false">SUM(C18:K18)</f>
        <v>132</v>
      </c>
    </row>
    <row r="19" customFormat="false" ht="15" hidden="false" customHeight="false" outlineLevel="0" collapsed="false">
      <c r="A19" s="24" t="s">
        <v>36</v>
      </c>
      <c r="B19" s="24" t="s">
        <v>22</v>
      </c>
      <c r="C19" s="25"/>
      <c r="D19" s="25"/>
      <c r="E19" s="26" t="n">
        <v>35</v>
      </c>
      <c r="F19" s="25"/>
      <c r="G19" s="26" t="n">
        <v>30</v>
      </c>
      <c r="H19" s="26" t="n">
        <v>40</v>
      </c>
      <c r="I19" s="25"/>
      <c r="J19" s="26" t="n">
        <v>31</v>
      </c>
      <c r="K19" s="25"/>
      <c r="L19" s="27" t="n">
        <f aca="false">SUM(C19:K19)</f>
        <v>136</v>
      </c>
    </row>
    <row r="20" customFormat="false" ht="15" hidden="false" customHeight="false" outlineLevel="0" collapsed="false">
      <c r="A20" s="24" t="s">
        <v>37</v>
      </c>
      <c r="B20" s="24" t="s">
        <v>22</v>
      </c>
      <c r="C20" s="25"/>
      <c r="D20" s="26" t="n">
        <v>50</v>
      </c>
      <c r="E20" s="25"/>
      <c r="F20" s="25"/>
      <c r="G20" s="25"/>
      <c r="H20" s="25"/>
      <c r="I20" s="26" t="n">
        <v>35</v>
      </c>
      <c r="J20" s="26" t="n">
        <v>34</v>
      </c>
      <c r="K20" s="26" t="n">
        <v>65</v>
      </c>
      <c r="L20" s="27" t="n">
        <f aca="false">SUM(C20:K20)</f>
        <v>184</v>
      </c>
    </row>
    <row r="21" customFormat="false" ht="15" hidden="false" customHeight="false" outlineLevel="0" collapsed="false">
      <c r="A21" s="24" t="s">
        <v>38</v>
      </c>
      <c r="B21" s="24" t="s">
        <v>22</v>
      </c>
      <c r="C21" s="26" t="n">
        <v>39</v>
      </c>
      <c r="D21" s="26" t="n">
        <v>70</v>
      </c>
      <c r="E21" s="25"/>
      <c r="F21" s="25"/>
      <c r="G21" s="25"/>
      <c r="H21" s="25"/>
      <c r="I21" s="26" t="n">
        <v>55</v>
      </c>
      <c r="J21" s="25"/>
      <c r="K21" s="26" t="n">
        <v>88</v>
      </c>
      <c r="L21" s="27" t="n">
        <f aca="false">SUM(C21:K21)</f>
        <v>252</v>
      </c>
    </row>
    <row r="22" customFormat="false" ht="15" hidden="false" customHeight="false" outlineLevel="0" collapsed="false">
      <c r="A22" s="28" t="s">
        <v>59</v>
      </c>
      <c r="B22" s="29"/>
      <c r="C22" s="30" t="n">
        <f aca="false">SUM(C3:C21)</f>
        <v>83</v>
      </c>
      <c r="D22" s="30" t="n">
        <f aca="false">SUM(D3:D21)</f>
        <v>1085</v>
      </c>
      <c r="E22" s="30" t="n">
        <f aca="false">SUM(E3:E21)</f>
        <v>115</v>
      </c>
      <c r="F22" s="30" t="n">
        <f aca="false">SUM(F3:F21)</f>
        <v>74</v>
      </c>
      <c r="G22" s="30" t="n">
        <f aca="false">SUM(G3:G21)</f>
        <v>30</v>
      </c>
      <c r="H22" s="30" t="n">
        <f aca="false">SUM(H3:H21)</f>
        <v>135</v>
      </c>
      <c r="I22" s="30" t="n">
        <f aca="false">SUM(I3:I21)</f>
        <v>867</v>
      </c>
      <c r="J22" s="30" t="n">
        <f aca="false">SUM(J3:J21)</f>
        <v>537</v>
      </c>
      <c r="K22" s="30" t="n">
        <f aca="false">SUM(K3:K21)</f>
        <v>1425</v>
      </c>
      <c r="L22" s="30" t="n">
        <f aca="false">SUM(L3:L21)</f>
        <v>4351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</cols>
  <sheetData>
    <row r="1" customFormat="false" ht="30" hidden="false" customHeight="true" outlineLevel="0" collapsed="false">
      <c r="A1" s="1" t="s">
        <v>60</v>
      </c>
      <c r="B1" s="1"/>
      <c r="C1" s="1"/>
      <c r="D1" s="1"/>
    </row>
    <row r="3" customFormat="false" ht="21.75" hidden="false" customHeight="true" outlineLevel="0" collapsed="false">
      <c r="A3" s="31" t="s">
        <v>61</v>
      </c>
      <c r="B3" s="32" t="n">
        <v>19</v>
      </c>
    </row>
    <row r="4" customFormat="false" ht="21.75" hidden="false" customHeight="true" outlineLevel="0" collapsed="false">
      <c r="A4" s="31" t="s">
        <v>62</v>
      </c>
      <c r="B4" s="32" t="n">
        <v>8</v>
      </c>
    </row>
    <row r="5" customFormat="false" ht="21.75" hidden="false" customHeight="true" outlineLevel="0" collapsed="false">
      <c r="A5" s="31" t="s">
        <v>63</v>
      </c>
      <c r="B5" s="32" t="n">
        <v>11</v>
      </c>
    </row>
    <row r="6" customFormat="false" ht="21.75" hidden="false" customHeight="true" outlineLevel="0" collapsed="false">
      <c r="A6" s="31" t="s">
        <v>64</v>
      </c>
      <c r="B6" s="33" t="n">
        <f aca="false">47.2%</f>
        <v>0.472</v>
      </c>
    </row>
    <row r="7" customFormat="false" ht="21.75" hidden="false" customHeight="true" outlineLevel="0" collapsed="false">
      <c r="A7" s="31" t="s">
        <v>65</v>
      </c>
      <c r="B7" s="33" t="n">
        <f aca="false">28%</f>
        <v>0.28</v>
      </c>
    </row>
    <row r="8" customFormat="false" ht="21.75" hidden="false" customHeight="true" outlineLevel="0" collapsed="false">
      <c r="A8" s="31" t="s">
        <v>66</v>
      </c>
      <c r="B8" s="34" t="n">
        <v>68100</v>
      </c>
    </row>
    <row r="9" customFormat="false" ht="21.75" hidden="false" customHeight="true" outlineLevel="0" collapsed="false">
      <c r="A9" s="31" t="s">
        <v>67</v>
      </c>
      <c r="B9" s="34" t="n">
        <v>63930</v>
      </c>
    </row>
    <row r="10" customFormat="false" ht="21.75" hidden="false" customHeight="true" outlineLevel="0" collapsed="false">
      <c r="A10" s="31" t="s">
        <v>68</v>
      </c>
      <c r="B10" s="34" t="n">
        <v>34250</v>
      </c>
    </row>
    <row r="11" customFormat="false" ht="21.75" hidden="false" customHeight="true" outlineLevel="0" collapsed="false">
      <c r="A11" s="31" t="s">
        <v>69</v>
      </c>
      <c r="B11" s="32" t="s">
        <v>70</v>
      </c>
    </row>
    <row r="12" customFormat="false" ht="21.75" hidden="false" customHeight="true" outlineLevel="0" collapsed="false">
      <c r="A12" s="31" t="s">
        <v>71</v>
      </c>
      <c r="B12" s="32" t="s">
        <v>72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2026-03-02T09:35:55Z</dcterms:created>
  <dc:creator>openpyxl</dc:creator>
  <dc:description/>
  <dc:language>en-US</dc:language>
  <cp:lastModifiedBy/>
  <dcterms:modified xsi:type="dcterms:W3CDTF">2026-03-02T09:35:55Z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